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21075" windowHeight="9795"/>
  </bookViews>
  <sheets>
    <sheet name="Ark1" sheetId="1" r:id="rId1"/>
    <sheet name="Ark2" sheetId="2" r:id="rId2"/>
    <sheet name="Ark3" sheetId="3" r:id="rId3"/>
  </sheets>
  <calcPr calcId="125725"/>
</workbook>
</file>

<file path=xl/calcChain.xml><?xml version="1.0" encoding="utf-8"?>
<calcChain xmlns="http://schemas.openxmlformats.org/spreadsheetml/2006/main">
  <c r="H70" i="1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33"/>
  <c r="H34"/>
  <c r="H35"/>
  <c r="H36"/>
  <c r="H37"/>
  <c r="H38"/>
  <c r="H39"/>
  <c r="H40"/>
  <c r="H41"/>
  <c r="H42"/>
  <c r="H43"/>
  <c r="H44"/>
  <c r="H45"/>
  <c r="H46"/>
  <c r="H47"/>
  <c r="H48"/>
  <c r="H49"/>
  <c r="H32"/>
  <c r="H2"/>
  <c r="H3"/>
  <c r="H4"/>
  <c r="H5"/>
  <c r="H6"/>
  <c r="H7"/>
  <c r="H8"/>
  <c r="H9"/>
  <c r="H10"/>
  <c r="H11"/>
  <c r="H12"/>
  <c r="H13"/>
  <c r="H14"/>
  <c r="H15"/>
  <c r="H16"/>
  <c r="H17"/>
  <c r="H18"/>
  <c r="H20"/>
  <c r="H21"/>
  <c r="H22"/>
  <c r="H23"/>
  <c r="H24"/>
  <c r="H25"/>
  <c r="H26"/>
  <c r="H27"/>
  <c r="H28"/>
  <c r="H29"/>
  <c r="H30"/>
  <c r="H31"/>
  <c r="H19"/>
</calcChain>
</file>

<file path=xl/sharedStrings.xml><?xml version="1.0" encoding="utf-8"?>
<sst xmlns="http://schemas.openxmlformats.org/spreadsheetml/2006/main" count="768" uniqueCount="133">
  <si>
    <t>Width</t>
  </si>
  <si>
    <t>Height</t>
  </si>
  <si>
    <t>Office</t>
  </si>
  <si>
    <t>Type</t>
  </si>
  <si>
    <t>Small</t>
  </si>
  <si>
    <t>Medium</t>
  </si>
  <si>
    <t>Large</t>
  </si>
  <si>
    <t>HQ Suite</t>
  </si>
  <si>
    <t>Courier Services</t>
  </si>
  <si>
    <t>Office Supply Services</t>
  </si>
  <si>
    <t>Bottled Water Services</t>
  </si>
  <si>
    <t>Janitorial Services</t>
  </si>
  <si>
    <t>Copy Services</t>
  </si>
  <si>
    <t>Computer and IT Services</t>
  </si>
  <si>
    <t>File Storage Services</t>
  </si>
  <si>
    <t>Commercial Printing Services</t>
  </si>
  <si>
    <t>Catering Services</t>
  </si>
  <si>
    <t>Professional Auditing Services</t>
  </si>
  <si>
    <t>Corporate Communication Services</t>
  </si>
  <si>
    <t>Temporary Staffing Services</t>
  </si>
  <si>
    <t>Security Services</t>
  </si>
  <si>
    <t>Fitness &amp; Health Services</t>
  </si>
  <si>
    <t>Executive Club</t>
  </si>
  <si>
    <t>Helicopter Charters</t>
  </si>
  <si>
    <t>Limousine Services</t>
  </si>
  <si>
    <t>Handyman Services</t>
  </si>
  <si>
    <t>Plumber</t>
  </si>
  <si>
    <t>Laundromat</t>
  </si>
  <si>
    <t>Dog Walking Services</t>
  </si>
  <si>
    <t>Housekeeping Services</t>
  </si>
  <si>
    <t>Dry Cleaning Services</t>
  </si>
  <si>
    <t>Floral Arrangement Services</t>
  </si>
  <si>
    <t>Tailoring Services</t>
  </si>
  <si>
    <t>Daycare Center</t>
  </si>
  <si>
    <t>Dog Sitting Services</t>
  </si>
  <si>
    <t>Personal Training Services</t>
  </si>
  <si>
    <t>Yoga Services</t>
  </si>
  <si>
    <t>Home Decor Services</t>
  </si>
  <si>
    <t>Wealth Adviser Services</t>
  </si>
  <si>
    <t>Bi-Level</t>
  </si>
  <si>
    <t>Studio</t>
  </si>
  <si>
    <t>Variant</t>
  </si>
  <si>
    <t>Basic</t>
  </si>
  <si>
    <t>Deluxe</t>
  </si>
  <si>
    <t>Luxury</t>
  </si>
  <si>
    <t>One-Bedroom</t>
  </si>
  <si>
    <t>Small Two-Bedroom</t>
  </si>
  <si>
    <t>Large Two-Bedroom</t>
  </si>
  <si>
    <t>Duplex Two-Bedroom</t>
  </si>
  <si>
    <t>Fancy</t>
  </si>
  <si>
    <t>Loft</t>
  </si>
  <si>
    <t>Apartment</t>
  </si>
  <si>
    <t>Rent/Space</t>
  </si>
  <si>
    <t>Electricity</t>
  </si>
  <si>
    <t>Phone</t>
  </si>
  <si>
    <t>Cable TV</t>
  </si>
  <si>
    <t>Water</t>
  </si>
  <si>
    <t>Gas</t>
  </si>
  <si>
    <t>Trash Bins</t>
  </si>
  <si>
    <t>Recycling Bins</t>
  </si>
  <si>
    <t>x</t>
  </si>
  <si>
    <t>Build Cost</t>
  </si>
  <si>
    <t>Insurance</t>
  </si>
  <si>
    <t>Accounting</t>
  </si>
  <si>
    <t>Legal</t>
  </si>
  <si>
    <t>Creative</t>
  </si>
  <si>
    <t>Preferred Floor</t>
  </si>
  <si>
    <t>Preferred Traffic</t>
  </si>
  <si>
    <t>Preferred Elevator Distance</t>
  </si>
  <si>
    <t>Hates Noise</t>
  </si>
  <si>
    <t>Hates Smell</t>
  </si>
  <si>
    <t>Likes Art</t>
  </si>
  <si>
    <t>Upper</t>
  </si>
  <si>
    <t>Close</t>
  </si>
  <si>
    <t>Far</t>
  </si>
  <si>
    <t>Low</t>
  </si>
  <si>
    <t>Medical</t>
  </si>
  <si>
    <t>Creative and Technical</t>
  </si>
  <si>
    <t>Financial</t>
  </si>
  <si>
    <t>Engineering</t>
  </si>
  <si>
    <t>Tech</t>
  </si>
  <si>
    <t>Broadcasting Studios</t>
  </si>
  <si>
    <t>Tech Company HQs</t>
  </si>
  <si>
    <t>Government Offices</t>
  </si>
  <si>
    <t>Bank Headquarters</t>
  </si>
  <si>
    <t>Average Rent</t>
  </si>
  <si>
    <t>o</t>
  </si>
  <si>
    <t>Lower</t>
  </si>
  <si>
    <t>High</t>
  </si>
  <si>
    <t>Food Courts</t>
  </si>
  <si>
    <t>Cafes</t>
  </si>
  <si>
    <t>Fast Food</t>
  </si>
  <si>
    <t>Diners</t>
  </si>
  <si>
    <t>Sandwich Shops</t>
  </si>
  <si>
    <t>Salad and Hot Bars</t>
  </si>
  <si>
    <t>Pizza Places</t>
  </si>
  <si>
    <t>Sports Bars</t>
  </si>
  <si>
    <t>Italian</t>
  </si>
  <si>
    <t>Mexican</t>
  </si>
  <si>
    <t>Brunch Spots</t>
  </si>
  <si>
    <t>Family Restaurants</t>
  </si>
  <si>
    <t>Chinese</t>
  </si>
  <si>
    <t>Class</t>
  </si>
  <si>
    <t>Indian</t>
  </si>
  <si>
    <t>Seafood</t>
  </si>
  <si>
    <t>Thai</t>
  </si>
  <si>
    <t>Japanese</t>
  </si>
  <si>
    <t>French</t>
  </si>
  <si>
    <t>Gourmet</t>
  </si>
  <si>
    <t>Restaurant</t>
  </si>
  <si>
    <t>Food and Beverages</t>
  </si>
  <si>
    <t>Portable Electronics</t>
  </si>
  <si>
    <t>Books, News, etc.</t>
  </si>
  <si>
    <t>Drugstores</t>
  </si>
  <si>
    <t>Flower Stores</t>
  </si>
  <si>
    <t>Wine and Spirits</t>
  </si>
  <si>
    <t>Luxury Goods</t>
  </si>
  <si>
    <t>Store</t>
  </si>
  <si>
    <t>Clothing</t>
  </si>
  <si>
    <t>Electronics</t>
  </si>
  <si>
    <t>Shoes</t>
  </si>
  <si>
    <t>Bags and Briefcases</t>
  </si>
  <si>
    <t>Appliances</t>
  </si>
  <si>
    <t>Department Stores</t>
  </si>
  <si>
    <t>Furniture</t>
  </si>
  <si>
    <t>Big Box Electronics</t>
  </si>
  <si>
    <t>Fancy Grocery Stores</t>
  </si>
  <si>
    <t>China Shops</t>
  </si>
  <si>
    <t>Cosmetics Boutiques</t>
  </si>
  <si>
    <t>Jewelers</t>
  </si>
  <si>
    <t>Fine Art Stores</t>
  </si>
  <si>
    <t>Antique Books</t>
  </si>
  <si>
    <t>Fine Wine Merchants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</si>
</sst>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141">
    <xf numFmtId="0" fontId="0" fillId="0" borderId="0" xfId="0"/>
    <xf numFmtId="0" fontId="1" fillId="12" borderId="1" xfId="11" applyBorder="1"/>
    <xf numFmtId="0" fontId="1" fillId="13" borderId="1" xfId="12" applyBorder="1"/>
    <xf numFmtId="0" fontId="1" fillId="6" borderId="1" xfId="5" applyBorder="1"/>
    <xf numFmtId="0" fontId="1" fillId="7" borderId="1" xfId="6" applyBorder="1"/>
    <xf numFmtId="0" fontId="1" fillId="8" borderId="1" xfId="7" applyBorder="1"/>
    <xf numFmtId="0" fontId="1" fillId="9" borderId="1" xfId="8" applyBorder="1"/>
    <xf numFmtId="0" fontId="1" fillId="2" borderId="1" xfId="1" applyBorder="1"/>
    <xf numFmtId="0" fontId="1" fillId="3" borderId="1" xfId="2" applyBorder="1"/>
    <xf numFmtId="0" fontId="0" fillId="0" borderId="1" xfId="0" applyBorder="1"/>
    <xf numFmtId="0" fontId="1" fillId="4" borderId="1" xfId="3" applyBorder="1"/>
    <xf numFmtId="0" fontId="1" fillId="5" borderId="1" xfId="4" applyBorder="1"/>
    <xf numFmtId="0" fontId="1" fillId="10" borderId="1" xfId="9" applyBorder="1"/>
    <xf numFmtId="0" fontId="1" fillId="11" borderId="1" xfId="10" applyBorder="1"/>
    <xf numFmtId="0" fontId="1" fillId="12" borderId="1" xfId="11" applyBorder="1" applyAlignment="1">
      <alignment horizontal="center"/>
    </xf>
    <xf numFmtId="0" fontId="1" fillId="13" borderId="1" xfId="12" applyBorder="1" applyAlignment="1">
      <alignment horizontal="center"/>
    </xf>
    <xf numFmtId="0" fontId="1" fillId="6" borderId="1" xfId="5" applyBorder="1" applyAlignment="1">
      <alignment horizontal="center"/>
    </xf>
    <xf numFmtId="0" fontId="1" fillId="7" borderId="1" xfId="6" applyBorder="1" applyAlignment="1">
      <alignment horizontal="center"/>
    </xf>
    <xf numFmtId="0" fontId="1" fillId="8" borderId="1" xfId="7" applyBorder="1" applyAlignment="1">
      <alignment horizontal="center"/>
    </xf>
    <xf numFmtId="0" fontId="1" fillId="9" borderId="1" xfId="8" applyBorder="1" applyAlignment="1">
      <alignment horizontal="center"/>
    </xf>
    <xf numFmtId="0" fontId="1" fillId="2" borderId="1" xfId="1" applyBorder="1" applyAlignment="1">
      <alignment horizontal="center"/>
    </xf>
    <xf numFmtId="0" fontId="1" fillId="3" borderId="1" xfId="2" applyBorder="1" applyAlignment="1">
      <alignment horizontal="center"/>
    </xf>
    <xf numFmtId="0" fontId="1" fillId="4" borderId="1" xfId="3" applyBorder="1" applyAlignment="1">
      <alignment horizontal="center"/>
    </xf>
    <xf numFmtId="0" fontId="1" fillId="5" borderId="1" xfId="4" applyBorder="1" applyAlignment="1">
      <alignment horizontal="center"/>
    </xf>
    <xf numFmtId="0" fontId="1" fillId="10" borderId="1" xfId="9" applyBorder="1" applyAlignment="1">
      <alignment horizontal="center"/>
    </xf>
    <xf numFmtId="0" fontId="1" fillId="11" borderId="1" xfId="10" applyBorder="1" applyAlignment="1">
      <alignment horizontal="center"/>
    </xf>
    <xf numFmtId="0" fontId="0" fillId="0" borderId="1" xfId="0" applyBorder="1" applyAlignment="1">
      <alignment horizontal="center"/>
    </xf>
    <xf numFmtId="0" fontId="1" fillId="12" borderId="2" xfId="11" applyBorder="1"/>
    <xf numFmtId="0" fontId="1" fillId="13" borderId="2" xfId="12" applyBorder="1"/>
    <xf numFmtId="0" fontId="1" fillId="6" borderId="2" xfId="5" applyBorder="1"/>
    <xf numFmtId="0" fontId="1" fillId="7" borderId="2" xfId="6" applyBorder="1"/>
    <xf numFmtId="0" fontId="1" fillId="4" borderId="2" xfId="3" applyBorder="1"/>
    <xf numFmtId="0" fontId="1" fillId="5" borderId="2" xfId="4" applyBorder="1"/>
    <xf numFmtId="0" fontId="1" fillId="10" borderId="2" xfId="9" applyBorder="1"/>
    <xf numFmtId="0" fontId="1" fillId="11" borderId="2" xfId="10" applyBorder="1"/>
    <xf numFmtId="0" fontId="0" fillId="0" borderId="2" xfId="0" applyBorder="1"/>
    <xf numFmtId="0" fontId="1" fillId="12" borderId="3" xfId="11" applyBorder="1" applyAlignment="1">
      <alignment horizontal="center"/>
    </xf>
    <xf numFmtId="0" fontId="1" fillId="13" borderId="3" xfId="12" applyBorder="1" applyAlignment="1">
      <alignment horizontal="center"/>
    </xf>
    <xf numFmtId="0" fontId="1" fillId="6" borderId="3" xfId="5" applyBorder="1" applyAlignment="1">
      <alignment horizontal="center"/>
    </xf>
    <xf numFmtId="0" fontId="1" fillId="7" borderId="3" xfId="6" applyBorder="1" applyAlignment="1">
      <alignment horizontal="center"/>
    </xf>
    <xf numFmtId="0" fontId="1" fillId="8" borderId="3" xfId="7" applyBorder="1" applyAlignment="1">
      <alignment horizontal="center"/>
    </xf>
    <xf numFmtId="0" fontId="1" fillId="9" borderId="3" xfId="8" applyBorder="1" applyAlignment="1">
      <alignment horizontal="center"/>
    </xf>
    <xf numFmtId="0" fontId="1" fillId="2" borderId="3" xfId="1" applyBorder="1" applyAlignment="1">
      <alignment horizontal="center"/>
    </xf>
    <xf numFmtId="0" fontId="1" fillId="3" borderId="3" xfId="2" applyBorder="1" applyAlignment="1">
      <alignment horizontal="center"/>
    </xf>
    <xf numFmtId="0" fontId="1" fillId="4" borderId="3" xfId="3" applyBorder="1" applyAlignment="1">
      <alignment horizontal="center"/>
    </xf>
    <xf numFmtId="0" fontId="1" fillId="5" borderId="3" xfId="4" applyBorder="1" applyAlignment="1">
      <alignment horizontal="center"/>
    </xf>
    <xf numFmtId="0" fontId="1" fillId="10" borderId="3" xfId="9" applyBorder="1" applyAlignment="1">
      <alignment horizontal="center"/>
    </xf>
    <xf numFmtId="0" fontId="1" fillId="11" borderId="3" xfId="10" applyBorder="1" applyAlignment="1">
      <alignment horizontal="center"/>
    </xf>
    <xf numFmtId="0" fontId="0" fillId="0" borderId="3" xfId="0" applyBorder="1" applyAlignment="1">
      <alignment horizontal="center"/>
    </xf>
    <xf numFmtId="0" fontId="1" fillId="12" borderId="4" xfId="11" applyBorder="1"/>
    <xf numFmtId="0" fontId="1" fillId="13" borderId="4" xfId="12" applyBorder="1"/>
    <xf numFmtId="0" fontId="1" fillId="6" borderId="4" xfId="5" applyBorder="1"/>
    <xf numFmtId="0" fontId="1" fillId="7" borderId="4" xfId="6" applyBorder="1"/>
    <xf numFmtId="0" fontId="1" fillId="8" borderId="4" xfId="7" applyBorder="1"/>
    <xf numFmtId="0" fontId="1" fillId="9" borderId="4" xfId="8" applyBorder="1"/>
    <xf numFmtId="0" fontId="1" fillId="2" borderId="4" xfId="1" applyBorder="1"/>
    <xf numFmtId="0" fontId="1" fillId="3" borderId="4" xfId="2" applyBorder="1"/>
    <xf numFmtId="0" fontId="1" fillId="4" borderId="4" xfId="3" applyBorder="1"/>
    <xf numFmtId="0" fontId="1" fillId="5" borderId="4" xfId="4" applyBorder="1"/>
    <xf numFmtId="0" fontId="1" fillId="10" borderId="4" xfId="9" applyBorder="1"/>
    <xf numFmtId="0" fontId="1" fillId="11" borderId="4" xfId="10" applyBorder="1"/>
    <xf numFmtId="0" fontId="0" fillId="0" borderId="4" xfId="0" applyBorder="1"/>
    <xf numFmtId="0" fontId="1" fillId="12" borderId="4" xfId="11" applyBorder="1" applyAlignment="1">
      <alignment horizontal="center"/>
    </xf>
    <xf numFmtId="0" fontId="1" fillId="12" borderId="5" xfId="11" applyBorder="1" applyAlignment="1">
      <alignment horizontal="center"/>
    </xf>
    <xf numFmtId="0" fontId="1" fillId="13" borderId="4" xfId="12" applyBorder="1" applyAlignment="1">
      <alignment horizontal="center"/>
    </xf>
    <xf numFmtId="0" fontId="1" fillId="13" borderId="5" xfId="12" applyBorder="1" applyAlignment="1">
      <alignment horizontal="center"/>
    </xf>
    <xf numFmtId="0" fontId="1" fillId="6" borderId="5" xfId="5" applyBorder="1" applyAlignment="1">
      <alignment horizontal="center"/>
    </xf>
    <xf numFmtId="0" fontId="1" fillId="7" borderId="5" xfId="6" applyBorder="1" applyAlignment="1">
      <alignment horizontal="center"/>
    </xf>
    <xf numFmtId="0" fontId="1" fillId="8" borderId="4" xfId="7" applyBorder="1" applyAlignment="1">
      <alignment horizontal="center"/>
    </xf>
    <xf numFmtId="0" fontId="1" fillId="8" borderId="5" xfId="7" applyBorder="1" applyAlignment="1">
      <alignment horizontal="center"/>
    </xf>
    <xf numFmtId="0" fontId="1" fillId="9" borderId="4" xfId="8" applyBorder="1" applyAlignment="1">
      <alignment horizontal="center"/>
    </xf>
    <xf numFmtId="0" fontId="1" fillId="9" borderId="5" xfId="8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3" borderId="4" xfId="2" applyBorder="1" applyAlignment="1">
      <alignment horizontal="center"/>
    </xf>
    <xf numFmtId="0" fontId="1" fillId="3" borderId="5" xfId="2" applyBorder="1" applyAlignment="1">
      <alignment horizontal="center"/>
    </xf>
    <xf numFmtId="0" fontId="1" fillId="4" borderId="4" xfId="3" applyBorder="1" applyAlignment="1">
      <alignment horizontal="center"/>
    </xf>
    <xf numFmtId="0" fontId="1" fillId="4" borderId="5" xfId="3" applyBorder="1" applyAlignment="1">
      <alignment horizontal="center"/>
    </xf>
    <xf numFmtId="0" fontId="1" fillId="5" borderId="4" xfId="4" applyBorder="1" applyAlignment="1">
      <alignment horizontal="center"/>
    </xf>
    <xf numFmtId="0" fontId="1" fillId="5" borderId="5" xfId="4" applyBorder="1" applyAlignment="1">
      <alignment horizontal="center"/>
    </xf>
    <xf numFmtId="0" fontId="1" fillId="10" borderId="4" xfId="9" applyBorder="1" applyAlignment="1">
      <alignment horizontal="center"/>
    </xf>
    <xf numFmtId="0" fontId="1" fillId="10" borderId="5" xfId="9" applyBorder="1" applyAlignment="1">
      <alignment horizontal="center"/>
    </xf>
    <xf numFmtId="0" fontId="1" fillId="11" borderId="4" xfId="10" applyBorder="1" applyAlignment="1">
      <alignment horizontal="center"/>
    </xf>
    <xf numFmtId="0" fontId="1" fillId="11" borderId="5" xfId="1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12" borderId="5" xfId="11" applyNumberFormat="1" applyBorder="1"/>
    <xf numFmtId="2" fontId="1" fillId="13" borderId="5" xfId="12" applyNumberFormat="1" applyBorder="1"/>
    <xf numFmtId="2" fontId="1" fillId="6" borderId="5" xfId="5" applyNumberFormat="1" applyBorder="1"/>
    <xf numFmtId="2" fontId="1" fillId="7" borderId="5" xfId="6" applyNumberFormat="1" applyBorder="1"/>
    <xf numFmtId="2" fontId="1" fillId="8" borderId="5" xfId="7" applyNumberFormat="1" applyBorder="1"/>
    <xf numFmtId="2" fontId="1" fillId="2" borderId="5" xfId="1" applyNumberFormat="1" applyBorder="1"/>
    <xf numFmtId="2" fontId="1" fillId="3" borderId="5" xfId="2" applyNumberFormat="1" applyBorder="1"/>
    <xf numFmtId="2" fontId="1" fillId="4" borderId="5" xfId="3" applyNumberFormat="1" applyBorder="1"/>
    <xf numFmtId="2" fontId="1" fillId="5" borderId="5" xfId="4" applyNumberFormat="1" applyBorder="1"/>
    <xf numFmtId="2" fontId="1" fillId="10" borderId="5" xfId="9" applyNumberFormat="1" applyBorder="1"/>
    <xf numFmtId="2" fontId="1" fillId="11" borderId="5" xfId="10" applyNumberFormat="1" applyBorder="1"/>
    <xf numFmtId="2" fontId="0" fillId="0" borderId="5" xfId="0" applyNumberFormat="1" applyBorder="1"/>
    <xf numFmtId="0" fontId="1" fillId="12" borderId="2" xfId="11" applyBorder="1" applyAlignment="1">
      <alignment horizontal="center"/>
    </xf>
    <xf numFmtId="0" fontId="1" fillId="13" borderId="2" xfId="12" applyBorder="1" applyAlignment="1">
      <alignment horizontal="center"/>
    </xf>
    <xf numFmtId="0" fontId="1" fillId="6" borderId="2" xfId="5" applyBorder="1" applyAlignment="1">
      <alignment horizontal="center"/>
    </xf>
    <xf numFmtId="0" fontId="1" fillId="7" borderId="2" xfId="6" applyBorder="1" applyAlignment="1">
      <alignment horizontal="center"/>
    </xf>
    <xf numFmtId="0" fontId="1" fillId="8" borderId="2" xfId="7" applyBorder="1" applyAlignment="1">
      <alignment horizontal="center"/>
    </xf>
    <xf numFmtId="0" fontId="1" fillId="9" borderId="2" xfId="8" applyBorder="1" applyAlignment="1">
      <alignment horizontal="center"/>
    </xf>
    <xf numFmtId="0" fontId="1" fillId="2" borderId="2" xfId="1" applyBorder="1" applyAlignment="1">
      <alignment horizontal="center"/>
    </xf>
    <xf numFmtId="0" fontId="1" fillId="3" borderId="2" xfId="2" applyBorder="1" applyAlignment="1">
      <alignment horizontal="center"/>
    </xf>
    <xf numFmtId="0" fontId="1" fillId="4" borderId="2" xfId="3" applyBorder="1" applyAlignment="1">
      <alignment horizontal="center"/>
    </xf>
    <xf numFmtId="0" fontId="1" fillId="5" borderId="2" xfId="4" applyBorder="1" applyAlignment="1">
      <alignment horizontal="center"/>
    </xf>
    <xf numFmtId="0" fontId="1" fillId="10" borderId="2" xfId="9" applyBorder="1" applyAlignment="1">
      <alignment horizontal="center"/>
    </xf>
    <xf numFmtId="0" fontId="1" fillId="11" borderId="2" xfId="10" applyBorder="1" applyAlignment="1">
      <alignment horizontal="center"/>
    </xf>
    <xf numFmtId="0" fontId="0" fillId="0" borderId="2" xfId="0" applyBorder="1" applyAlignment="1">
      <alignment horizontal="center"/>
    </xf>
    <xf numFmtId="0" fontId="1" fillId="6" borderId="4" xfId="5" applyBorder="1" applyAlignment="1">
      <alignment horizontal="center"/>
    </xf>
    <xf numFmtId="0" fontId="1" fillId="7" borderId="4" xfId="6" applyBorder="1" applyAlignment="1">
      <alignment horizontal="center"/>
    </xf>
    <xf numFmtId="0" fontId="2" fillId="14" borderId="1" xfId="0" applyNumberFormat="1" applyFont="1" applyFill="1" applyBorder="1" applyAlignment="1">
      <alignment textRotation="45"/>
    </xf>
    <xf numFmtId="0" fontId="2" fillId="14" borderId="2" xfId="0" applyNumberFormat="1" applyFont="1" applyFill="1" applyBorder="1" applyAlignment="1">
      <alignment textRotation="45"/>
    </xf>
    <xf numFmtId="0" fontId="2" fillId="14" borderId="4" xfId="0" applyNumberFormat="1" applyFont="1" applyFill="1" applyBorder="1" applyAlignment="1">
      <alignment textRotation="45"/>
    </xf>
    <xf numFmtId="0" fontId="2" fillId="14" borderId="5" xfId="0" applyNumberFormat="1" applyFont="1" applyFill="1" applyBorder="1" applyAlignment="1">
      <alignment textRotation="45"/>
    </xf>
    <xf numFmtId="0" fontId="2" fillId="14" borderId="3" xfId="0" applyNumberFormat="1" applyFont="1" applyFill="1" applyBorder="1" applyAlignment="1">
      <alignment textRotation="45"/>
    </xf>
    <xf numFmtId="0" fontId="0" fillId="8" borderId="1" xfId="7" applyFont="1" applyBorder="1"/>
    <xf numFmtId="0" fontId="0" fillId="8" borderId="2" xfId="7" applyFont="1" applyBorder="1"/>
    <xf numFmtId="0" fontId="0" fillId="8" borderId="4" xfId="7" applyFont="1" applyBorder="1" applyAlignment="1">
      <alignment horizontal="center"/>
    </xf>
    <xf numFmtId="0" fontId="0" fillId="9" borderId="1" xfId="8" applyFont="1" applyBorder="1"/>
    <xf numFmtId="0" fontId="0" fillId="9" borderId="2" xfId="8" applyFont="1" applyBorder="1"/>
    <xf numFmtId="0" fontId="0" fillId="8" borderId="1" xfId="7" applyFont="1" applyBorder="1" applyAlignment="1">
      <alignment horizontal="center"/>
    </xf>
    <xf numFmtId="0" fontId="0" fillId="9" borderId="3" xfId="8" applyFont="1" applyBorder="1" applyAlignment="1">
      <alignment horizontal="center"/>
    </xf>
    <xf numFmtId="0" fontId="0" fillId="9" borderId="4" xfId="8" applyFont="1" applyBorder="1" applyAlignment="1">
      <alignment horizontal="center"/>
    </xf>
    <xf numFmtId="0" fontId="0" fillId="9" borderId="1" xfId="8" applyFont="1" applyBorder="1" applyAlignment="1">
      <alignment horizontal="center"/>
    </xf>
    <xf numFmtId="0" fontId="0" fillId="8" borderId="5" xfId="7" applyFont="1" applyBorder="1" applyAlignment="1">
      <alignment horizontal="center"/>
    </xf>
    <xf numFmtId="0" fontId="0" fillId="8" borderId="3" xfId="7" applyFont="1" applyBorder="1" applyAlignment="1">
      <alignment horizontal="center"/>
    </xf>
    <xf numFmtId="0" fontId="0" fillId="9" borderId="5" xfId="8" applyFont="1" applyBorder="1" applyAlignment="1">
      <alignment horizontal="center"/>
    </xf>
    <xf numFmtId="0" fontId="0" fillId="9" borderId="2" xfId="8" applyFont="1" applyBorder="1" applyAlignment="1">
      <alignment horizontal="center"/>
    </xf>
    <xf numFmtId="0" fontId="0" fillId="2" borderId="2" xfId="1" applyFont="1" applyBorder="1"/>
    <xf numFmtId="0" fontId="0" fillId="2" borderId="1" xfId="1" applyFont="1" applyBorder="1"/>
    <xf numFmtId="0" fontId="0" fillId="3" borderId="1" xfId="2" applyFont="1" applyBorder="1"/>
    <xf numFmtId="0" fontId="0" fillId="2" borderId="4" xfId="1" applyFont="1" applyBorder="1" applyAlignment="1">
      <alignment horizontal="center"/>
    </xf>
    <xf numFmtId="0" fontId="0" fillId="2" borderId="1" xfId="1" applyFont="1" applyBorder="1" applyAlignment="1">
      <alignment horizontal="center"/>
    </xf>
    <xf numFmtId="0" fontId="0" fillId="3" borderId="2" xfId="2" applyFont="1" applyBorder="1"/>
    <xf numFmtId="0" fontId="0" fillId="3" borderId="5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1" xfId="2" applyFont="1" applyBorder="1" applyAlignment="1">
      <alignment horizontal="center"/>
    </xf>
    <xf numFmtId="0" fontId="0" fillId="2" borderId="5" xfId="1" applyFont="1" applyBorder="1" applyAlignment="1">
      <alignment horizontal="center"/>
    </xf>
  </cellXfs>
  <cellStyles count="13">
    <cellStyle name="20 % - Markeringsfarve1" xfId="1" builtinId="30"/>
    <cellStyle name="20 % - Markeringsfarve2" xfId="3" builtinId="34"/>
    <cellStyle name="20 % - Markeringsfarve3" xfId="5" builtinId="38"/>
    <cellStyle name="20 % - Markeringsfarve4" xfId="7" builtinId="42"/>
    <cellStyle name="20 % - Markeringsfarve5" xfId="9" builtinId="46"/>
    <cellStyle name="20 % - Markeringsfarve6" xfId="11" builtinId="50"/>
    <cellStyle name="40 % - Markeringsfarve1" xfId="2" builtinId="31"/>
    <cellStyle name="40 % - Markeringsfarve2" xfId="4" builtinId="35"/>
    <cellStyle name="40 % - Markeringsfarve3" xfId="6" builtinId="39"/>
    <cellStyle name="40 % - Markeringsfarve4" xfId="8" builtinId="43"/>
    <cellStyle name="40 % - Markeringsfarve5" xfId="10" builtinId="47"/>
    <cellStyle name="40 % - Markeringsfarve6" xfId="12" builtinId="5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0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/>
  <cols>
    <col min="1" max="1" width="32.7109375" style="9" bestFit="1" customWidth="1"/>
    <col min="2" max="2" width="20.5703125" style="9" bestFit="1" customWidth="1"/>
    <col min="3" max="3" width="21.140625" style="35" bestFit="1" customWidth="1"/>
    <col min="4" max="4" width="5.140625" style="61" bestFit="1" customWidth="1"/>
    <col min="5" max="5" width="4.5703125" style="9" bestFit="1" customWidth="1"/>
    <col min="6" max="6" width="6.28515625" style="9" bestFit="1" customWidth="1"/>
    <col min="7" max="7" width="5.140625" style="9" bestFit="1" customWidth="1"/>
    <col min="8" max="8" width="7.5703125" style="97" bestFit="1" customWidth="1"/>
    <col min="9" max="9" width="4.42578125" style="84" bestFit="1" customWidth="1"/>
    <col min="10" max="10" width="6.42578125" style="9" bestFit="1" customWidth="1"/>
    <col min="11" max="11" width="5" style="9" bestFit="1" customWidth="1"/>
    <col min="12" max="12" width="5.85546875" style="9" bestFit="1" customWidth="1"/>
    <col min="13" max="13" width="4.42578125" style="26" bestFit="1" customWidth="1"/>
    <col min="14" max="14" width="4.42578125" style="85" bestFit="1" customWidth="1"/>
    <col min="15" max="15" width="4.42578125" style="84" bestFit="1" customWidth="1"/>
    <col min="16" max="18" width="4.42578125" style="26" bestFit="1" customWidth="1"/>
    <col min="19" max="19" width="4.42578125" style="85" bestFit="1" customWidth="1"/>
    <col min="20" max="20" width="4.42578125" style="48" bestFit="1" customWidth="1"/>
    <col min="21" max="21" width="4.42578125" style="110" bestFit="1" customWidth="1"/>
    <col min="22" max="22" width="4.42578125" style="84" bestFit="1" customWidth="1"/>
    <col min="23" max="37" width="4.42578125" style="26" bestFit="1" customWidth="1"/>
    <col min="38" max="38" width="4.42578125" style="85" bestFit="1" customWidth="1"/>
    <col min="39" max="39" width="4.42578125" style="48" bestFit="1" customWidth="1"/>
    <col min="40" max="52" width="4.42578125" style="26" bestFit="1" customWidth="1"/>
    <col min="53" max="54" width="9.140625" style="9" customWidth="1"/>
    <col min="55" max="16384" width="9.140625" style="9"/>
  </cols>
  <sheetData>
    <row r="1" spans="1:52" s="113" customFormat="1" ht="113.25">
      <c r="A1" s="113" t="s">
        <v>3</v>
      </c>
      <c r="B1" s="113" t="s">
        <v>102</v>
      </c>
      <c r="C1" s="114" t="s">
        <v>41</v>
      </c>
      <c r="D1" s="115" t="s">
        <v>0</v>
      </c>
      <c r="E1" s="113" t="s">
        <v>1</v>
      </c>
      <c r="F1" s="113" t="s">
        <v>61</v>
      </c>
      <c r="G1" s="113" t="s">
        <v>85</v>
      </c>
      <c r="H1" s="116" t="s">
        <v>52</v>
      </c>
      <c r="I1" s="115" t="s">
        <v>71</v>
      </c>
      <c r="J1" s="113" t="s">
        <v>66</v>
      </c>
      <c r="K1" s="113" t="s">
        <v>67</v>
      </c>
      <c r="L1" s="113" t="s">
        <v>68</v>
      </c>
      <c r="M1" s="113" t="s">
        <v>69</v>
      </c>
      <c r="N1" s="116" t="s">
        <v>70</v>
      </c>
      <c r="O1" s="115" t="s">
        <v>53</v>
      </c>
      <c r="P1" s="113" t="s">
        <v>54</v>
      </c>
      <c r="Q1" s="113" t="s">
        <v>55</v>
      </c>
      <c r="R1" s="113" t="s">
        <v>56</v>
      </c>
      <c r="S1" s="116" t="s">
        <v>57</v>
      </c>
      <c r="T1" s="117" t="s">
        <v>58</v>
      </c>
      <c r="U1" s="114" t="s">
        <v>59</v>
      </c>
      <c r="V1" s="115" t="s">
        <v>8</v>
      </c>
      <c r="W1" s="113" t="s">
        <v>9</v>
      </c>
      <c r="X1" s="113" t="s">
        <v>10</v>
      </c>
      <c r="Y1" s="113" t="s">
        <v>11</v>
      </c>
      <c r="Z1" s="113" t="s">
        <v>12</v>
      </c>
      <c r="AA1" s="113" t="s">
        <v>13</v>
      </c>
      <c r="AB1" s="113" t="s">
        <v>15</v>
      </c>
      <c r="AC1" s="113" t="s">
        <v>14</v>
      </c>
      <c r="AD1" s="113" t="s">
        <v>16</v>
      </c>
      <c r="AE1" s="113" t="s">
        <v>17</v>
      </c>
      <c r="AF1" s="113" t="s">
        <v>18</v>
      </c>
      <c r="AG1" s="113" t="s">
        <v>19</v>
      </c>
      <c r="AH1" s="113" t="s">
        <v>20</v>
      </c>
      <c r="AI1" s="113" t="s">
        <v>21</v>
      </c>
      <c r="AJ1" s="113" t="s">
        <v>22</v>
      </c>
      <c r="AK1" s="113" t="s">
        <v>23</v>
      </c>
      <c r="AL1" s="116" t="s">
        <v>24</v>
      </c>
      <c r="AM1" s="117" t="s">
        <v>25</v>
      </c>
      <c r="AN1" s="113" t="s">
        <v>26</v>
      </c>
      <c r="AO1" s="113" t="s">
        <v>27</v>
      </c>
      <c r="AP1" s="113" t="s">
        <v>28</v>
      </c>
      <c r="AQ1" s="113" t="s">
        <v>29</v>
      </c>
      <c r="AR1" s="113" t="s">
        <v>30</v>
      </c>
      <c r="AS1" s="113" t="s">
        <v>31</v>
      </c>
      <c r="AT1" s="113" t="s">
        <v>32</v>
      </c>
      <c r="AU1" s="113" t="s">
        <v>33</v>
      </c>
      <c r="AV1" s="113" t="s">
        <v>34</v>
      </c>
      <c r="AW1" s="113" t="s">
        <v>35</v>
      </c>
      <c r="AX1" s="113" t="s">
        <v>36</v>
      </c>
      <c r="AY1" s="113" t="s">
        <v>37</v>
      </c>
      <c r="AZ1" s="113" t="s">
        <v>38</v>
      </c>
    </row>
    <row r="2" spans="1:52" s="1" customFormat="1">
      <c r="A2" s="1" t="s">
        <v>2</v>
      </c>
      <c r="B2" s="1" t="s">
        <v>4</v>
      </c>
      <c r="C2" s="27" t="s">
        <v>62</v>
      </c>
      <c r="D2" s="49">
        <v>4</v>
      </c>
      <c r="E2" s="1">
        <v>1</v>
      </c>
      <c r="F2" s="1">
        <v>140</v>
      </c>
      <c r="G2" s="1">
        <v>90</v>
      </c>
      <c r="H2" s="86">
        <f t="shared" ref="H2:H18" si="0">G2/(D2*E2)</f>
        <v>22.5</v>
      </c>
      <c r="I2" s="62"/>
      <c r="M2" s="14"/>
      <c r="N2" s="63"/>
      <c r="O2" s="62" t="s">
        <v>60</v>
      </c>
      <c r="P2" s="14"/>
      <c r="Q2" s="14"/>
      <c r="R2" s="14"/>
      <c r="S2" s="63"/>
      <c r="T2" s="36"/>
      <c r="U2" s="98"/>
      <c r="V2" s="62"/>
      <c r="W2" s="14"/>
      <c r="X2" s="14"/>
      <c r="Y2" s="14"/>
      <c r="Z2" s="14" t="s">
        <v>60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63"/>
      <c r="AM2" s="36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</row>
    <row r="3" spans="1:52" s="1" customFormat="1">
      <c r="A3" s="1" t="s">
        <v>2</v>
      </c>
      <c r="B3" s="1" t="s">
        <v>4</v>
      </c>
      <c r="C3" s="27" t="s">
        <v>63</v>
      </c>
      <c r="D3" s="49">
        <v>4</v>
      </c>
      <c r="E3" s="1">
        <v>1</v>
      </c>
      <c r="F3" s="1">
        <v>165</v>
      </c>
      <c r="G3" s="1">
        <v>130</v>
      </c>
      <c r="H3" s="86">
        <f t="shared" si="0"/>
        <v>32.5</v>
      </c>
      <c r="I3" s="62"/>
      <c r="M3" s="14"/>
      <c r="N3" s="63"/>
      <c r="O3" s="62" t="s">
        <v>60</v>
      </c>
      <c r="P3" s="14" t="s">
        <v>86</v>
      </c>
      <c r="Q3" s="14"/>
      <c r="R3" s="14"/>
      <c r="S3" s="63"/>
      <c r="T3" s="36"/>
      <c r="U3" s="98"/>
      <c r="V3" s="62" t="s">
        <v>60</v>
      </c>
      <c r="W3" s="14"/>
      <c r="X3" s="14"/>
      <c r="Y3" s="14"/>
      <c r="Z3" s="14" t="s">
        <v>60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63"/>
      <c r="AM3" s="36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 spans="1:52" s="1" customFormat="1">
      <c r="A4" s="1" t="s">
        <v>2</v>
      </c>
      <c r="B4" s="1" t="s">
        <v>4</v>
      </c>
      <c r="C4" s="27" t="s">
        <v>64</v>
      </c>
      <c r="D4" s="49">
        <v>4</v>
      </c>
      <c r="E4" s="1">
        <v>1</v>
      </c>
      <c r="F4" s="1">
        <v>165</v>
      </c>
      <c r="G4" s="1">
        <v>160</v>
      </c>
      <c r="H4" s="86">
        <f t="shared" si="0"/>
        <v>40</v>
      </c>
      <c r="I4" s="62"/>
      <c r="M4" s="14"/>
      <c r="N4" s="63"/>
      <c r="O4" s="62" t="s">
        <v>60</v>
      </c>
      <c r="P4" s="14" t="s">
        <v>86</v>
      </c>
      <c r="Q4" s="14"/>
      <c r="R4" s="14"/>
      <c r="S4" s="63"/>
      <c r="T4" s="36"/>
      <c r="U4" s="98"/>
      <c r="V4" s="62" t="s">
        <v>60</v>
      </c>
      <c r="W4" s="14"/>
      <c r="X4" s="14"/>
      <c r="Y4" s="14"/>
      <c r="Z4" s="14" t="s">
        <v>60</v>
      </c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63"/>
      <c r="AM4" s="36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</row>
    <row r="5" spans="1:52" s="1" customFormat="1">
      <c r="A5" s="1" t="s">
        <v>2</v>
      </c>
      <c r="B5" s="1" t="s">
        <v>4</v>
      </c>
      <c r="C5" s="27" t="s">
        <v>65</v>
      </c>
      <c r="D5" s="49">
        <v>4</v>
      </c>
      <c r="E5" s="1">
        <v>1</v>
      </c>
      <c r="F5" s="1">
        <v>190</v>
      </c>
      <c r="G5" s="1">
        <v>170</v>
      </c>
      <c r="H5" s="86">
        <f t="shared" si="0"/>
        <v>42.5</v>
      </c>
      <c r="I5" s="62"/>
      <c r="M5" s="14"/>
      <c r="N5" s="63"/>
      <c r="O5" s="62" t="s">
        <v>60</v>
      </c>
      <c r="P5" s="14"/>
      <c r="Q5" s="14"/>
      <c r="R5" s="14"/>
      <c r="S5" s="63"/>
      <c r="T5" s="36"/>
      <c r="U5" s="98"/>
      <c r="V5" s="62"/>
      <c r="W5" s="14" t="s">
        <v>86</v>
      </c>
      <c r="X5" s="14" t="s">
        <v>86</v>
      </c>
      <c r="Y5" s="14"/>
      <c r="Z5" s="14" t="s">
        <v>60</v>
      </c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63"/>
      <c r="AM5" s="36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</row>
    <row r="6" spans="1:52" s="2" customFormat="1">
      <c r="A6" s="2" t="s">
        <v>2</v>
      </c>
      <c r="B6" s="2" t="s">
        <v>5</v>
      </c>
      <c r="C6" s="28" t="s">
        <v>76</v>
      </c>
      <c r="D6" s="50">
        <v>10</v>
      </c>
      <c r="E6" s="2">
        <v>1</v>
      </c>
      <c r="F6" s="2">
        <v>340</v>
      </c>
      <c r="G6" s="2">
        <v>350</v>
      </c>
      <c r="H6" s="87">
        <f t="shared" si="0"/>
        <v>35</v>
      </c>
      <c r="I6" s="64"/>
      <c r="J6" s="2" t="s">
        <v>87</v>
      </c>
      <c r="M6" s="15"/>
      <c r="N6" s="65"/>
      <c r="O6" s="64" t="s">
        <v>60</v>
      </c>
      <c r="P6" s="15" t="s">
        <v>60</v>
      </c>
      <c r="Q6" s="15"/>
      <c r="R6" s="15" t="s">
        <v>60</v>
      </c>
      <c r="S6" s="65"/>
      <c r="T6" s="37"/>
      <c r="U6" s="99"/>
      <c r="V6" s="64" t="s">
        <v>60</v>
      </c>
      <c r="W6" s="15"/>
      <c r="X6" s="15" t="s">
        <v>60</v>
      </c>
      <c r="Y6" s="15" t="s">
        <v>60</v>
      </c>
      <c r="Z6" s="15"/>
      <c r="AA6" s="15"/>
      <c r="AB6" s="15" t="s">
        <v>60</v>
      </c>
      <c r="AC6" s="15"/>
      <c r="AD6" s="15"/>
      <c r="AE6" s="15"/>
      <c r="AF6" s="15"/>
      <c r="AG6" s="15"/>
      <c r="AH6" s="15"/>
      <c r="AI6" s="15"/>
      <c r="AJ6" s="15"/>
      <c r="AK6" s="15"/>
      <c r="AL6" s="65"/>
      <c r="AM6" s="37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</row>
    <row r="7" spans="1:52" s="2" customFormat="1">
      <c r="A7" s="2" t="s">
        <v>2</v>
      </c>
      <c r="B7" s="2" t="s">
        <v>5</v>
      </c>
      <c r="C7" s="28" t="s">
        <v>77</v>
      </c>
      <c r="D7" s="50">
        <v>10</v>
      </c>
      <c r="E7" s="2">
        <v>1</v>
      </c>
      <c r="F7" s="2">
        <v>340</v>
      </c>
      <c r="G7" s="2">
        <v>430</v>
      </c>
      <c r="H7" s="87">
        <f t="shared" si="0"/>
        <v>43</v>
      </c>
      <c r="I7" s="64"/>
      <c r="J7" s="2" t="s">
        <v>72</v>
      </c>
      <c r="M7" s="15" t="s">
        <v>60</v>
      </c>
      <c r="N7" s="65" t="s">
        <v>60</v>
      </c>
      <c r="O7" s="64" t="s">
        <v>60</v>
      </c>
      <c r="P7" s="15" t="s">
        <v>60</v>
      </c>
      <c r="Q7" s="15"/>
      <c r="R7" s="15"/>
      <c r="S7" s="65"/>
      <c r="T7" s="37"/>
      <c r="U7" s="99"/>
      <c r="V7" s="64" t="s">
        <v>60</v>
      </c>
      <c r="W7" s="15" t="s">
        <v>60</v>
      </c>
      <c r="X7" s="15"/>
      <c r="Y7" s="15" t="s">
        <v>60</v>
      </c>
      <c r="Z7" s="15"/>
      <c r="AA7" s="15"/>
      <c r="AB7" s="15"/>
      <c r="AC7" s="15" t="s">
        <v>60</v>
      </c>
      <c r="AD7" s="15"/>
      <c r="AE7" s="15"/>
      <c r="AF7" s="15"/>
      <c r="AG7" s="15"/>
      <c r="AH7" s="15"/>
      <c r="AI7" s="15"/>
      <c r="AJ7" s="15"/>
      <c r="AK7" s="15"/>
      <c r="AL7" s="65"/>
      <c r="AM7" s="37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</row>
    <row r="8" spans="1:52" s="2" customFormat="1">
      <c r="A8" s="2" t="s">
        <v>2</v>
      </c>
      <c r="B8" s="2" t="s">
        <v>5</v>
      </c>
      <c r="C8" s="28" t="s">
        <v>64</v>
      </c>
      <c r="D8" s="50">
        <v>10</v>
      </c>
      <c r="E8" s="2">
        <v>1</v>
      </c>
      <c r="F8" s="2">
        <v>340</v>
      </c>
      <c r="G8" s="2">
        <v>380</v>
      </c>
      <c r="H8" s="87">
        <f t="shared" si="0"/>
        <v>38</v>
      </c>
      <c r="I8" s="64"/>
      <c r="J8" s="2" t="s">
        <v>72</v>
      </c>
      <c r="M8" s="15" t="s">
        <v>60</v>
      </c>
      <c r="N8" s="65"/>
      <c r="O8" s="64" t="s">
        <v>60</v>
      </c>
      <c r="P8" s="15" t="s">
        <v>60</v>
      </c>
      <c r="Q8" s="15"/>
      <c r="R8" s="15"/>
      <c r="S8" s="65"/>
      <c r="T8" s="37"/>
      <c r="U8" s="99"/>
      <c r="V8" s="64" t="s">
        <v>60</v>
      </c>
      <c r="W8" s="15"/>
      <c r="X8" s="15" t="s">
        <v>86</v>
      </c>
      <c r="Y8" s="15" t="s">
        <v>60</v>
      </c>
      <c r="Z8" s="15" t="s">
        <v>86</v>
      </c>
      <c r="AA8" s="15"/>
      <c r="AB8" s="15"/>
      <c r="AC8" s="15" t="s">
        <v>60</v>
      </c>
      <c r="AD8" s="15" t="s">
        <v>60</v>
      </c>
      <c r="AE8" s="15"/>
      <c r="AF8" s="15"/>
      <c r="AG8" s="15"/>
      <c r="AH8" s="15"/>
      <c r="AI8" s="15"/>
      <c r="AJ8" s="15"/>
      <c r="AK8" s="15"/>
      <c r="AL8" s="65"/>
      <c r="AM8" s="37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</row>
    <row r="9" spans="1:52" s="2" customFormat="1">
      <c r="A9" s="2" t="s">
        <v>2</v>
      </c>
      <c r="B9" s="2" t="s">
        <v>5</v>
      </c>
      <c r="C9" s="28" t="s">
        <v>78</v>
      </c>
      <c r="D9" s="50">
        <v>10</v>
      </c>
      <c r="E9" s="2">
        <v>1</v>
      </c>
      <c r="F9" s="2">
        <v>365</v>
      </c>
      <c r="G9" s="2">
        <v>500</v>
      </c>
      <c r="H9" s="87">
        <f t="shared" si="0"/>
        <v>50</v>
      </c>
      <c r="I9" s="64"/>
      <c r="J9" s="2" t="s">
        <v>72</v>
      </c>
      <c r="M9" s="15" t="s">
        <v>60</v>
      </c>
      <c r="N9" s="65"/>
      <c r="O9" s="64" t="s">
        <v>60</v>
      </c>
      <c r="P9" s="15" t="s">
        <v>60</v>
      </c>
      <c r="Q9" s="15"/>
      <c r="R9" s="15"/>
      <c r="S9" s="65"/>
      <c r="T9" s="37"/>
      <c r="U9" s="99"/>
      <c r="V9" s="64"/>
      <c r="W9" s="15"/>
      <c r="X9" s="15" t="s">
        <v>60</v>
      </c>
      <c r="Y9" s="15" t="s">
        <v>60</v>
      </c>
      <c r="Z9" s="15" t="s">
        <v>60</v>
      </c>
      <c r="AA9" s="15" t="s">
        <v>60</v>
      </c>
      <c r="AB9" s="15"/>
      <c r="AC9" s="15"/>
      <c r="AD9" s="15" t="s">
        <v>60</v>
      </c>
      <c r="AE9" s="15"/>
      <c r="AF9" s="15"/>
      <c r="AG9" s="15"/>
      <c r="AH9" s="15"/>
      <c r="AI9" s="15"/>
      <c r="AJ9" s="15"/>
      <c r="AK9" s="15"/>
      <c r="AL9" s="65"/>
      <c r="AM9" s="37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</row>
    <row r="10" spans="1:52" s="1" customFormat="1">
      <c r="A10" s="1" t="s">
        <v>2</v>
      </c>
      <c r="B10" s="1" t="s">
        <v>6</v>
      </c>
      <c r="C10" s="27" t="s">
        <v>78</v>
      </c>
      <c r="D10" s="49">
        <v>15</v>
      </c>
      <c r="E10" s="1">
        <v>1</v>
      </c>
      <c r="F10" s="1">
        <v>700</v>
      </c>
      <c r="G10" s="1">
        <v>950</v>
      </c>
      <c r="H10" s="86">
        <f t="shared" si="0"/>
        <v>63.333333333333336</v>
      </c>
      <c r="I10" s="62"/>
      <c r="J10" s="1" t="s">
        <v>72</v>
      </c>
      <c r="L10" s="1" t="s">
        <v>73</v>
      </c>
      <c r="M10" s="14"/>
      <c r="N10" s="63"/>
      <c r="O10" s="62" t="s">
        <v>60</v>
      </c>
      <c r="P10" s="14" t="s">
        <v>60</v>
      </c>
      <c r="Q10" s="14"/>
      <c r="R10" s="14"/>
      <c r="S10" s="63"/>
      <c r="T10" s="36"/>
      <c r="U10" s="98"/>
      <c r="V10" s="62"/>
      <c r="W10" s="14"/>
      <c r="X10" s="14"/>
      <c r="Y10" s="14" t="s">
        <v>60</v>
      </c>
      <c r="Z10" s="14"/>
      <c r="AA10" s="14" t="s">
        <v>60</v>
      </c>
      <c r="AB10" s="14"/>
      <c r="AC10" s="14" t="s">
        <v>60</v>
      </c>
      <c r="AD10" s="14"/>
      <c r="AE10" s="14" t="s">
        <v>60</v>
      </c>
      <c r="AF10" s="14" t="s">
        <v>60</v>
      </c>
      <c r="AG10" s="14"/>
      <c r="AH10" s="14" t="s">
        <v>60</v>
      </c>
      <c r="AI10" s="14"/>
      <c r="AJ10" s="14"/>
      <c r="AK10" s="14"/>
      <c r="AL10" s="63"/>
      <c r="AM10" s="36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</row>
    <row r="11" spans="1:52" s="1" customFormat="1">
      <c r="A11" s="1" t="s">
        <v>2</v>
      </c>
      <c r="B11" s="1" t="s">
        <v>6</v>
      </c>
      <c r="C11" s="27" t="s">
        <v>79</v>
      </c>
      <c r="D11" s="49">
        <v>15</v>
      </c>
      <c r="E11" s="1">
        <v>1</v>
      </c>
      <c r="F11" s="1">
        <v>700</v>
      </c>
      <c r="G11" s="1">
        <v>770</v>
      </c>
      <c r="H11" s="86">
        <f t="shared" si="0"/>
        <v>51.333333333333336</v>
      </c>
      <c r="I11" s="62"/>
      <c r="J11" s="1" t="s">
        <v>72</v>
      </c>
      <c r="K11" s="1" t="s">
        <v>75</v>
      </c>
      <c r="L11" s="1" t="s">
        <v>74</v>
      </c>
      <c r="M11" s="14" t="s">
        <v>60</v>
      </c>
      <c r="N11" s="63"/>
      <c r="O11" s="62" t="s">
        <v>60</v>
      </c>
      <c r="P11" s="14" t="s">
        <v>60</v>
      </c>
      <c r="Q11" s="14"/>
      <c r="R11" s="14"/>
      <c r="S11" s="63"/>
      <c r="T11" s="36"/>
      <c r="U11" s="98"/>
      <c r="V11" s="62"/>
      <c r="W11" s="14"/>
      <c r="X11" s="14"/>
      <c r="Y11" s="14" t="s">
        <v>60</v>
      </c>
      <c r="Z11" s="14"/>
      <c r="AA11" s="14"/>
      <c r="AB11" s="14" t="s">
        <v>60</v>
      </c>
      <c r="AC11" s="14"/>
      <c r="AD11" s="14" t="s">
        <v>60</v>
      </c>
      <c r="AE11" s="14"/>
      <c r="AF11" s="14"/>
      <c r="AG11" s="14" t="s">
        <v>60</v>
      </c>
      <c r="AH11" s="14" t="s">
        <v>60</v>
      </c>
      <c r="AI11" s="14"/>
      <c r="AJ11" s="14"/>
      <c r="AK11" s="14"/>
      <c r="AL11" s="63"/>
      <c r="AM11" s="36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s="1" customFormat="1">
      <c r="A12" s="1" t="s">
        <v>2</v>
      </c>
      <c r="B12" s="1" t="s">
        <v>6</v>
      </c>
      <c r="C12" s="27" t="s">
        <v>65</v>
      </c>
      <c r="D12" s="49">
        <v>15</v>
      </c>
      <c r="E12" s="1">
        <v>1</v>
      </c>
      <c r="F12" s="1">
        <v>700</v>
      </c>
      <c r="G12" s="1">
        <v>1030</v>
      </c>
      <c r="H12" s="86">
        <f t="shared" si="0"/>
        <v>68.666666666666671</v>
      </c>
      <c r="I12" s="62" t="s">
        <v>60</v>
      </c>
      <c r="J12" s="1" t="s">
        <v>72</v>
      </c>
      <c r="M12" s="14" t="s">
        <v>60</v>
      </c>
      <c r="N12" s="63" t="s">
        <v>60</v>
      </c>
      <c r="O12" s="62" t="s">
        <v>60</v>
      </c>
      <c r="P12" s="14" t="s">
        <v>60</v>
      </c>
      <c r="Q12" s="14"/>
      <c r="R12" s="14"/>
      <c r="S12" s="63"/>
      <c r="T12" s="36"/>
      <c r="U12" s="98"/>
      <c r="V12" s="62"/>
      <c r="W12" s="14"/>
      <c r="X12" s="14"/>
      <c r="Y12" s="14" t="s">
        <v>60</v>
      </c>
      <c r="Z12" s="14"/>
      <c r="AA12" s="14"/>
      <c r="AB12" s="14" t="s">
        <v>60</v>
      </c>
      <c r="AC12" s="14"/>
      <c r="AD12" s="14"/>
      <c r="AE12" s="14"/>
      <c r="AF12" s="14"/>
      <c r="AG12" s="14" t="s">
        <v>60</v>
      </c>
      <c r="AH12" s="14" t="s">
        <v>60</v>
      </c>
      <c r="AI12" s="14"/>
      <c r="AJ12" s="14"/>
      <c r="AK12" s="14"/>
      <c r="AL12" s="63"/>
      <c r="AM12" s="36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s="1" customFormat="1">
      <c r="A13" s="1" t="s">
        <v>2</v>
      </c>
      <c r="B13" s="1" t="s">
        <v>6</v>
      </c>
      <c r="C13" s="27" t="s">
        <v>80</v>
      </c>
      <c r="D13" s="49">
        <v>15</v>
      </c>
      <c r="E13" s="1">
        <v>1</v>
      </c>
      <c r="F13" s="1">
        <v>700</v>
      </c>
      <c r="G13" s="1">
        <v>770</v>
      </c>
      <c r="H13" s="86">
        <f t="shared" si="0"/>
        <v>51.333333333333336</v>
      </c>
      <c r="I13" s="62"/>
      <c r="J13" s="1" t="s">
        <v>72</v>
      </c>
      <c r="L13" s="1" t="s">
        <v>73</v>
      </c>
      <c r="M13" s="14"/>
      <c r="N13" s="63"/>
      <c r="O13" s="62" t="s">
        <v>60</v>
      </c>
      <c r="P13" s="14" t="s">
        <v>60</v>
      </c>
      <c r="Q13" s="14"/>
      <c r="R13" s="14"/>
      <c r="S13" s="63"/>
      <c r="T13" s="36"/>
      <c r="U13" s="98"/>
      <c r="V13" s="62"/>
      <c r="W13" s="14"/>
      <c r="X13" s="14"/>
      <c r="Y13" s="14" t="s">
        <v>60</v>
      </c>
      <c r="Z13" s="14"/>
      <c r="AA13" s="14" t="s">
        <v>60</v>
      </c>
      <c r="AB13" s="14"/>
      <c r="AC13" s="14"/>
      <c r="AD13" s="14" t="s">
        <v>60</v>
      </c>
      <c r="AE13" s="14" t="s">
        <v>60</v>
      </c>
      <c r="AF13" s="14" t="s">
        <v>60</v>
      </c>
      <c r="AG13" s="14"/>
      <c r="AH13" s="14" t="s">
        <v>60</v>
      </c>
      <c r="AI13" s="14" t="s">
        <v>60</v>
      </c>
      <c r="AJ13" s="14"/>
      <c r="AK13" s="14"/>
      <c r="AL13" s="63"/>
      <c r="AM13" s="36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s="1" customFormat="1">
      <c r="A14" s="1" t="s">
        <v>2</v>
      </c>
      <c r="B14" s="1" t="s">
        <v>6</v>
      </c>
      <c r="C14" s="27" t="s">
        <v>76</v>
      </c>
      <c r="D14" s="49">
        <v>15</v>
      </c>
      <c r="E14" s="1">
        <v>1</v>
      </c>
      <c r="F14" s="1">
        <v>650</v>
      </c>
      <c r="G14" s="1">
        <v>470</v>
      </c>
      <c r="H14" s="86">
        <f t="shared" si="0"/>
        <v>31.333333333333332</v>
      </c>
      <c r="I14" s="62"/>
      <c r="J14" s="1" t="s">
        <v>87</v>
      </c>
      <c r="M14" s="14"/>
      <c r="N14" s="63"/>
      <c r="O14" s="62" t="s">
        <v>60</v>
      </c>
      <c r="P14" s="14" t="s">
        <v>60</v>
      </c>
      <c r="Q14" s="14"/>
      <c r="R14" s="14" t="s">
        <v>60</v>
      </c>
      <c r="S14" s="63"/>
      <c r="T14" s="36"/>
      <c r="U14" s="98"/>
      <c r="V14" s="62"/>
      <c r="W14" s="14"/>
      <c r="X14" s="14"/>
      <c r="Y14" s="14" t="s">
        <v>60</v>
      </c>
      <c r="Z14" s="14"/>
      <c r="AA14" s="14" t="s">
        <v>60</v>
      </c>
      <c r="AB14" s="14"/>
      <c r="AC14" s="14" t="s">
        <v>60</v>
      </c>
      <c r="AD14" s="14"/>
      <c r="AE14" s="14"/>
      <c r="AF14" s="14"/>
      <c r="AG14" s="14"/>
      <c r="AH14" s="14" t="s">
        <v>60</v>
      </c>
      <c r="AI14" s="14"/>
      <c r="AJ14" s="14"/>
      <c r="AK14" s="14"/>
      <c r="AL14" s="63"/>
      <c r="AM14" s="36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s="2" customFormat="1">
      <c r="A15" s="2" t="s">
        <v>2</v>
      </c>
      <c r="B15" s="2" t="s">
        <v>7</v>
      </c>
      <c r="C15" s="28" t="s">
        <v>82</v>
      </c>
      <c r="D15" s="50">
        <v>10</v>
      </c>
      <c r="E15" s="2">
        <v>2</v>
      </c>
      <c r="F15" s="2">
        <v>1550</v>
      </c>
      <c r="G15" s="2">
        <v>1300</v>
      </c>
      <c r="H15" s="87">
        <f t="shared" si="0"/>
        <v>65</v>
      </c>
      <c r="I15" s="64" t="s">
        <v>60</v>
      </c>
      <c r="J15" s="2" t="s">
        <v>72</v>
      </c>
      <c r="K15" s="2" t="s">
        <v>88</v>
      </c>
      <c r="M15" s="15"/>
      <c r="N15" s="65" t="s">
        <v>60</v>
      </c>
      <c r="O15" s="64" t="s">
        <v>60</v>
      </c>
      <c r="P15" s="15" t="s">
        <v>60</v>
      </c>
      <c r="Q15" s="15"/>
      <c r="R15" s="15"/>
      <c r="S15" s="65"/>
      <c r="T15" s="37"/>
      <c r="U15" s="99"/>
      <c r="V15" s="64"/>
      <c r="W15" s="15"/>
      <c r="X15" s="15"/>
      <c r="Y15" s="15" t="s">
        <v>60</v>
      </c>
      <c r="Z15" s="15"/>
      <c r="AA15" s="15"/>
      <c r="AB15" s="15"/>
      <c r="AC15" s="15"/>
      <c r="AD15" s="15" t="s">
        <v>60</v>
      </c>
      <c r="AE15" s="15"/>
      <c r="AF15" s="15"/>
      <c r="AG15" s="15"/>
      <c r="AH15" s="15" t="s">
        <v>60</v>
      </c>
      <c r="AI15" s="15" t="s">
        <v>60</v>
      </c>
      <c r="AJ15" s="15"/>
      <c r="AK15" s="15"/>
      <c r="AL15" s="65" t="s">
        <v>60</v>
      </c>
      <c r="AM15" s="37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</row>
    <row r="16" spans="1:52" s="2" customFormat="1">
      <c r="A16" s="2" t="s">
        <v>2</v>
      </c>
      <c r="B16" s="2" t="s">
        <v>7</v>
      </c>
      <c r="C16" s="28" t="s">
        <v>81</v>
      </c>
      <c r="D16" s="50">
        <v>10</v>
      </c>
      <c r="E16" s="2">
        <v>2</v>
      </c>
      <c r="F16" s="2">
        <v>1550</v>
      </c>
      <c r="G16" s="2">
        <v>1250</v>
      </c>
      <c r="H16" s="87">
        <f t="shared" si="0"/>
        <v>62.5</v>
      </c>
      <c r="I16" s="64"/>
      <c r="J16" s="2" t="s">
        <v>72</v>
      </c>
      <c r="K16" s="2" t="s">
        <v>75</v>
      </c>
      <c r="M16" s="15" t="s">
        <v>60</v>
      </c>
      <c r="N16" s="65"/>
      <c r="O16" s="64" t="s">
        <v>60</v>
      </c>
      <c r="P16" s="15" t="s">
        <v>60</v>
      </c>
      <c r="Q16" s="15" t="s">
        <v>60</v>
      </c>
      <c r="R16" s="15"/>
      <c r="S16" s="65"/>
      <c r="T16" s="37"/>
      <c r="U16" s="99"/>
      <c r="V16" s="64"/>
      <c r="W16" s="15"/>
      <c r="X16" s="15" t="s">
        <v>60</v>
      </c>
      <c r="Y16" s="15" t="s">
        <v>60</v>
      </c>
      <c r="Z16" s="15"/>
      <c r="AA16" s="15" t="s">
        <v>60</v>
      </c>
      <c r="AB16" s="15"/>
      <c r="AC16" s="15"/>
      <c r="AD16" s="15"/>
      <c r="AE16" s="15"/>
      <c r="AF16" s="15" t="s">
        <v>60</v>
      </c>
      <c r="AG16" s="15"/>
      <c r="AH16" s="15" t="s">
        <v>60</v>
      </c>
      <c r="AI16" s="15"/>
      <c r="AJ16" s="15"/>
      <c r="AK16" s="15" t="s">
        <v>60</v>
      </c>
      <c r="AL16" s="65"/>
      <c r="AM16" s="37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</row>
    <row r="17" spans="1:52" s="2" customFormat="1">
      <c r="A17" s="2" t="s">
        <v>2</v>
      </c>
      <c r="B17" s="2" t="s">
        <v>7</v>
      </c>
      <c r="C17" s="28" t="s">
        <v>83</v>
      </c>
      <c r="D17" s="50">
        <v>10</v>
      </c>
      <c r="E17" s="2">
        <v>2</v>
      </c>
      <c r="F17" s="2">
        <v>1550</v>
      </c>
      <c r="G17" s="2">
        <v>1030</v>
      </c>
      <c r="H17" s="87">
        <f t="shared" si="0"/>
        <v>51.5</v>
      </c>
      <c r="I17" s="64"/>
      <c r="J17" s="2" t="s">
        <v>87</v>
      </c>
      <c r="M17" s="15" t="s">
        <v>60</v>
      </c>
      <c r="N17" s="65" t="s">
        <v>60</v>
      </c>
      <c r="O17" s="64" t="s">
        <v>60</v>
      </c>
      <c r="P17" s="15" t="s">
        <v>60</v>
      </c>
      <c r="Q17" s="15"/>
      <c r="R17" s="15"/>
      <c r="S17" s="65"/>
      <c r="T17" s="37"/>
      <c r="U17" s="99"/>
      <c r="V17" s="64"/>
      <c r="W17" s="15"/>
      <c r="X17" s="15"/>
      <c r="Y17" s="15" t="s">
        <v>60</v>
      </c>
      <c r="Z17" s="15"/>
      <c r="AA17" s="15"/>
      <c r="AB17" s="15" t="s">
        <v>60</v>
      </c>
      <c r="AC17" s="15"/>
      <c r="AD17" s="15"/>
      <c r="AE17" s="15" t="s">
        <v>60</v>
      </c>
      <c r="AF17" s="15"/>
      <c r="AG17" s="15" t="s">
        <v>60</v>
      </c>
      <c r="AH17" s="15" t="s">
        <v>60</v>
      </c>
      <c r="AI17" s="15"/>
      <c r="AJ17" s="15"/>
      <c r="AK17" s="15"/>
      <c r="AL17" s="65"/>
      <c r="AM17" s="37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</row>
    <row r="18" spans="1:52" s="2" customFormat="1">
      <c r="A18" s="2" t="s">
        <v>2</v>
      </c>
      <c r="B18" s="2" t="s">
        <v>7</v>
      </c>
      <c r="C18" s="28" t="s">
        <v>84</v>
      </c>
      <c r="D18" s="50">
        <v>10</v>
      </c>
      <c r="E18" s="2">
        <v>2</v>
      </c>
      <c r="F18" s="2">
        <v>1550</v>
      </c>
      <c r="G18" s="2">
        <v>1370</v>
      </c>
      <c r="H18" s="87">
        <f t="shared" si="0"/>
        <v>68.5</v>
      </c>
      <c r="I18" s="64" t="s">
        <v>60</v>
      </c>
      <c r="J18" s="2" t="s">
        <v>72</v>
      </c>
      <c r="K18" s="2" t="s">
        <v>75</v>
      </c>
      <c r="M18" s="15" t="s">
        <v>60</v>
      </c>
      <c r="N18" s="65" t="s">
        <v>60</v>
      </c>
      <c r="O18" s="64" t="s">
        <v>60</v>
      </c>
      <c r="P18" s="15" t="s">
        <v>60</v>
      </c>
      <c r="Q18" s="15"/>
      <c r="R18" s="15"/>
      <c r="S18" s="65"/>
      <c r="T18" s="37"/>
      <c r="U18" s="99"/>
      <c r="V18" s="64"/>
      <c r="W18" s="15"/>
      <c r="X18" s="15"/>
      <c r="Y18" s="15" t="s">
        <v>60</v>
      </c>
      <c r="Z18" s="15"/>
      <c r="AA18" s="15"/>
      <c r="AB18" s="15"/>
      <c r="AC18" s="15"/>
      <c r="AD18" s="15"/>
      <c r="AE18" s="15" t="s">
        <v>60</v>
      </c>
      <c r="AF18" s="15"/>
      <c r="AG18" s="15"/>
      <c r="AH18" s="15" t="s">
        <v>60</v>
      </c>
      <c r="AI18" s="15"/>
      <c r="AJ18" s="15"/>
      <c r="AK18" s="15" t="s">
        <v>60</v>
      </c>
      <c r="AL18" s="65" t="s">
        <v>60</v>
      </c>
      <c r="AM18" s="37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</row>
    <row r="19" spans="1:52" s="3" customFormat="1">
      <c r="A19" s="3" t="s">
        <v>51</v>
      </c>
      <c r="B19" s="3" t="s">
        <v>40</v>
      </c>
      <c r="C19" s="29" t="s">
        <v>42</v>
      </c>
      <c r="D19" s="51">
        <v>6</v>
      </c>
      <c r="E19" s="3">
        <v>1</v>
      </c>
      <c r="F19" s="3">
        <v>145</v>
      </c>
      <c r="G19" s="3">
        <v>180</v>
      </c>
      <c r="H19" s="88">
        <f>G19/(D19*E19)</f>
        <v>30</v>
      </c>
      <c r="I19" s="111"/>
      <c r="J19" s="3" t="s">
        <v>72</v>
      </c>
      <c r="M19" s="16"/>
      <c r="N19" s="66"/>
      <c r="O19" s="111" t="s">
        <v>60</v>
      </c>
      <c r="P19" s="16"/>
      <c r="Q19" s="16"/>
      <c r="R19" s="16" t="s">
        <v>60</v>
      </c>
      <c r="S19" s="66"/>
      <c r="T19" s="38" t="s">
        <v>60</v>
      </c>
      <c r="U19" s="100"/>
      <c r="V19" s="111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66"/>
      <c r="AM19" s="38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s="3" customFormat="1">
      <c r="A20" s="3" t="s">
        <v>51</v>
      </c>
      <c r="B20" s="3" t="s">
        <v>40</v>
      </c>
      <c r="C20" s="29" t="s">
        <v>43</v>
      </c>
      <c r="D20" s="51">
        <v>6</v>
      </c>
      <c r="E20" s="3">
        <v>1</v>
      </c>
      <c r="F20" s="3">
        <v>220</v>
      </c>
      <c r="G20" s="3">
        <v>240</v>
      </c>
      <c r="H20" s="88">
        <f t="shared" ref="H20:H51" si="1">G20/(D20*E20)</f>
        <v>40</v>
      </c>
      <c r="I20" s="111"/>
      <c r="J20" s="3" t="s">
        <v>72</v>
      </c>
      <c r="M20" s="16" t="s">
        <v>60</v>
      </c>
      <c r="N20" s="66" t="s">
        <v>60</v>
      </c>
      <c r="O20" s="111" t="s">
        <v>60</v>
      </c>
      <c r="P20" s="16"/>
      <c r="Q20" s="16"/>
      <c r="R20" s="16" t="s">
        <v>60</v>
      </c>
      <c r="S20" s="66" t="s">
        <v>60</v>
      </c>
      <c r="T20" s="38" t="s">
        <v>60</v>
      </c>
      <c r="U20" s="100"/>
      <c r="V20" s="111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66"/>
      <c r="AM20" s="38"/>
      <c r="AN20" s="16" t="s">
        <v>60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s="3" customFormat="1">
      <c r="A21" s="3" t="s">
        <v>51</v>
      </c>
      <c r="B21" s="3" t="s">
        <v>40</v>
      </c>
      <c r="C21" s="29" t="s">
        <v>44</v>
      </c>
      <c r="D21" s="51">
        <v>6</v>
      </c>
      <c r="E21" s="3">
        <v>1</v>
      </c>
      <c r="F21" s="3">
        <v>320</v>
      </c>
      <c r="G21" s="3">
        <v>360</v>
      </c>
      <c r="H21" s="88">
        <f t="shared" si="1"/>
        <v>60</v>
      </c>
      <c r="I21" s="111"/>
      <c r="J21" s="3" t="s">
        <v>72</v>
      </c>
      <c r="M21" s="16" t="s">
        <v>60</v>
      </c>
      <c r="N21" s="66" t="s">
        <v>60</v>
      </c>
      <c r="O21" s="111" t="s">
        <v>60</v>
      </c>
      <c r="P21" s="16"/>
      <c r="Q21" s="16" t="s">
        <v>60</v>
      </c>
      <c r="R21" s="16" t="s">
        <v>60</v>
      </c>
      <c r="S21" s="66" t="s">
        <v>60</v>
      </c>
      <c r="T21" s="38" t="s">
        <v>60</v>
      </c>
      <c r="U21" s="100" t="s">
        <v>60</v>
      </c>
      <c r="V21" s="111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66"/>
      <c r="AM21" s="38" t="s">
        <v>60</v>
      </c>
      <c r="AN21" s="16" t="s">
        <v>60</v>
      </c>
      <c r="AO21" s="16" t="s">
        <v>60</v>
      </c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s="4" customFormat="1">
      <c r="A22" s="4" t="s">
        <v>51</v>
      </c>
      <c r="B22" s="4" t="s">
        <v>45</v>
      </c>
      <c r="C22" s="30" t="s">
        <v>42</v>
      </c>
      <c r="D22" s="52">
        <v>8</v>
      </c>
      <c r="E22" s="4">
        <v>1</v>
      </c>
      <c r="F22" s="4">
        <v>295</v>
      </c>
      <c r="G22" s="4">
        <v>220</v>
      </c>
      <c r="H22" s="89">
        <f t="shared" si="1"/>
        <v>27.5</v>
      </c>
      <c r="I22" s="112"/>
      <c r="J22" s="4" t="s">
        <v>72</v>
      </c>
      <c r="M22" s="17" t="s">
        <v>60</v>
      </c>
      <c r="N22" s="67"/>
      <c r="O22" s="112" t="s">
        <v>60</v>
      </c>
      <c r="P22" s="17"/>
      <c r="Q22" s="17"/>
      <c r="R22" s="17" t="s">
        <v>60</v>
      </c>
      <c r="S22" s="67"/>
      <c r="T22" s="39" t="s">
        <v>60</v>
      </c>
      <c r="U22" s="101"/>
      <c r="V22" s="112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67"/>
      <c r="AM22" s="39" t="s">
        <v>60</v>
      </c>
      <c r="AN22" s="17" t="s">
        <v>60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 s="4" customFormat="1">
      <c r="A23" s="4" t="s">
        <v>51</v>
      </c>
      <c r="B23" s="4" t="s">
        <v>45</v>
      </c>
      <c r="C23" s="30" t="s">
        <v>43</v>
      </c>
      <c r="D23" s="52">
        <v>8</v>
      </c>
      <c r="E23" s="4">
        <v>1</v>
      </c>
      <c r="F23" s="4">
        <v>345</v>
      </c>
      <c r="G23" s="4">
        <v>320</v>
      </c>
      <c r="H23" s="89">
        <f t="shared" si="1"/>
        <v>40</v>
      </c>
      <c r="I23" s="112"/>
      <c r="J23" s="4" t="s">
        <v>72</v>
      </c>
      <c r="M23" s="17" t="s">
        <v>60</v>
      </c>
      <c r="N23" s="67"/>
      <c r="O23" s="112" t="s">
        <v>60</v>
      </c>
      <c r="P23" s="17"/>
      <c r="Q23" s="17" t="s">
        <v>60</v>
      </c>
      <c r="R23" s="17" t="s">
        <v>60</v>
      </c>
      <c r="S23" s="67"/>
      <c r="T23" s="39" t="s">
        <v>60</v>
      </c>
      <c r="U23" s="101" t="s">
        <v>60</v>
      </c>
      <c r="V23" s="112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67"/>
      <c r="AM23" s="39" t="s">
        <v>60</v>
      </c>
      <c r="AN23" s="17" t="s">
        <v>60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 s="4" customFormat="1">
      <c r="A24" s="4" t="s">
        <v>51</v>
      </c>
      <c r="B24" s="4" t="s">
        <v>45</v>
      </c>
      <c r="C24" s="30" t="s">
        <v>44</v>
      </c>
      <c r="D24" s="52">
        <v>8</v>
      </c>
      <c r="E24" s="4">
        <v>1</v>
      </c>
      <c r="F24" s="4">
        <v>420</v>
      </c>
      <c r="G24" s="4">
        <v>410</v>
      </c>
      <c r="H24" s="89">
        <f t="shared" si="1"/>
        <v>51.25</v>
      </c>
      <c r="I24" s="112"/>
      <c r="J24" s="4" t="s">
        <v>72</v>
      </c>
      <c r="M24" s="17" t="s">
        <v>60</v>
      </c>
      <c r="N24" s="67" t="s">
        <v>60</v>
      </c>
      <c r="O24" s="112" t="s">
        <v>60</v>
      </c>
      <c r="P24" s="17"/>
      <c r="Q24" s="17" t="s">
        <v>60</v>
      </c>
      <c r="R24" s="17" t="s">
        <v>60</v>
      </c>
      <c r="S24" s="67" t="s">
        <v>60</v>
      </c>
      <c r="T24" s="39" t="s">
        <v>60</v>
      </c>
      <c r="U24" s="101" t="s">
        <v>60</v>
      </c>
      <c r="V24" s="112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67"/>
      <c r="AM24" s="39" t="s">
        <v>60</v>
      </c>
      <c r="AN24" s="17" t="s">
        <v>60</v>
      </c>
      <c r="AO24" s="17" t="s">
        <v>60</v>
      </c>
      <c r="AP24" s="17"/>
      <c r="AQ24" s="17" t="s">
        <v>60</v>
      </c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 s="3" customFormat="1">
      <c r="A25" s="3" t="s">
        <v>51</v>
      </c>
      <c r="B25" s="3" t="s">
        <v>46</v>
      </c>
      <c r="C25" s="29" t="s">
        <v>42</v>
      </c>
      <c r="D25" s="51">
        <v>10</v>
      </c>
      <c r="E25" s="3">
        <v>1</v>
      </c>
      <c r="F25" s="3">
        <v>485</v>
      </c>
      <c r="G25" s="3">
        <v>490</v>
      </c>
      <c r="H25" s="88">
        <f t="shared" si="1"/>
        <v>49</v>
      </c>
      <c r="I25" s="111"/>
      <c r="J25" s="3" t="s">
        <v>72</v>
      </c>
      <c r="L25" s="3" t="s">
        <v>73</v>
      </c>
      <c r="M25" s="16" t="s">
        <v>60</v>
      </c>
      <c r="N25" s="66"/>
      <c r="O25" s="111" t="s">
        <v>60</v>
      </c>
      <c r="P25" s="16"/>
      <c r="Q25" s="16" t="s">
        <v>60</v>
      </c>
      <c r="R25" s="16" t="s">
        <v>60</v>
      </c>
      <c r="S25" s="66"/>
      <c r="T25" s="38" t="s">
        <v>60</v>
      </c>
      <c r="U25" s="100" t="s">
        <v>60</v>
      </c>
      <c r="V25" s="111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66"/>
      <c r="AM25" s="38" t="s">
        <v>60</v>
      </c>
      <c r="AN25" s="16" t="s">
        <v>60</v>
      </c>
      <c r="AO25" s="16" t="s">
        <v>60</v>
      </c>
      <c r="AP25" s="16"/>
      <c r="AQ25" s="16" t="s">
        <v>60</v>
      </c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s="3" customFormat="1">
      <c r="A26" s="3" t="s">
        <v>51</v>
      </c>
      <c r="B26" s="3" t="s">
        <v>46</v>
      </c>
      <c r="C26" s="29" t="s">
        <v>44</v>
      </c>
      <c r="D26" s="51">
        <v>10</v>
      </c>
      <c r="E26" s="3">
        <v>1</v>
      </c>
      <c r="F26" s="3">
        <v>535</v>
      </c>
      <c r="G26" s="3">
        <v>580</v>
      </c>
      <c r="H26" s="88">
        <f t="shared" si="1"/>
        <v>58</v>
      </c>
      <c r="I26" s="111" t="s">
        <v>60</v>
      </c>
      <c r="J26" s="3" t="s">
        <v>72</v>
      </c>
      <c r="L26" s="3" t="s">
        <v>74</v>
      </c>
      <c r="M26" s="16" t="s">
        <v>60</v>
      </c>
      <c r="N26" s="66"/>
      <c r="O26" s="111" t="s">
        <v>60</v>
      </c>
      <c r="P26" s="16"/>
      <c r="Q26" s="16" t="s">
        <v>60</v>
      </c>
      <c r="R26" s="16" t="s">
        <v>60</v>
      </c>
      <c r="S26" s="66" t="s">
        <v>60</v>
      </c>
      <c r="T26" s="38" t="s">
        <v>60</v>
      </c>
      <c r="U26" s="100" t="s">
        <v>60</v>
      </c>
      <c r="V26" s="111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66"/>
      <c r="AM26" s="38" t="s">
        <v>60</v>
      </c>
      <c r="AN26" s="16" t="s">
        <v>60</v>
      </c>
      <c r="AO26" s="16" t="s">
        <v>60</v>
      </c>
      <c r="AP26" s="16" t="s">
        <v>60</v>
      </c>
      <c r="AQ26" s="16" t="s">
        <v>60</v>
      </c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s="4" customFormat="1">
      <c r="A27" s="4" t="s">
        <v>51</v>
      </c>
      <c r="B27" s="4" t="s">
        <v>47</v>
      </c>
      <c r="C27" s="30" t="s">
        <v>6</v>
      </c>
      <c r="D27" s="52">
        <v>16</v>
      </c>
      <c r="E27" s="4">
        <v>1</v>
      </c>
      <c r="F27" s="4">
        <v>580</v>
      </c>
      <c r="G27" s="4">
        <v>935</v>
      </c>
      <c r="H27" s="89">
        <f t="shared" si="1"/>
        <v>58.4375</v>
      </c>
      <c r="I27" s="112"/>
      <c r="J27" s="4" t="s">
        <v>72</v>
      </c>
      <c r="L27" s="4" t="s">
        <v>73</v>
      </c>
      <c r="M27" s="17" t="s">
        <v>60</v>
      </c>
      <c r="N27" s="67" t="s">
        <v>60</v>
      </c>
      <c r="O27" s="112" t="s">
        <v>60</v>
      </c>
      <c r="P27" s="17"/>
      <c r="Q27" s="17"/>
      <c r="R27" s="17" t="s">
        <v>60</v>
      </c>
      <c r="S27" s="67"/>
      <c r="T27" s="39" t="s">
        <v>60</v>
      </c>
      <c r="U27" s="101" t="s">
        <v>60</v>
      </c>
      <c r="V27" s="112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67"/>
      <c r="AM27" s="39" t="s">
        <v>60</v>
      </c>
      <c r="AN27" s="17" t="s">
        <v>60</v>
      </c>
      <c r="AO27" s="17"/>
      <c r="AP27" s="17"/>
      <c r="AQ27" s="17" t="s">
        <v>60</v>
      </c>
      <c r="AR27" s="17" t="s">
        <v>60</v>
      </c>
      <c r="AS27" s="17"/>
      <c r="AT27" s="17"/>
      <c r="AU27" s="17" t="s">
        <v>60</v>
      </c>
      <c r="AV27" s="17"/>
      <c r="AW27" s="17"/>
      <c r="AX27" s="17"/>
      <c r="AY27" s="17"/>
      <c r="AZ27" s="17"/>
    </row>
    <row r="28" spans="1:52" s="4" customFormat="1">
      <c r="A28" s="4" t="s">
        <v>51</v>
      </c>
      <c r="B28" s="4" t="s">
        <v>47</v>
      </c>
      <c r="C28" s="30" t="s">
        <v>49</v>
      </c>
      <c r="D28" s="52">
        <v>16</v>
      </c>
      <c r="E28" s="4">
        <v>1</v>
      </c>
      <c r="F28" s="4">
        <v>680</v>
      </c>
      <c r="G28" s="4">
        <v>1045</v>
      </c>
      <c r="H28" s="89">
        <f t="shared" si="1"/>
        <v>65.3125</v>
      </c>
      <c r="I28" s="112"/>
      <c r="J28" s="4" t="s">
        <v>72</v>
      </c>
      <c r="L28" s="4" t="s">
        <v>74</v>
      </c>
      <c r="M28" s="17" t="s">
        <v>60</v>
      </c>
      <c r="N28" s="67" t="s">
        <v>60</v>
      </c>
      <c r="O28" s="112" t="s">
        <v>60</v>
      </c>
      <c r="P28" s="17"/>
      <c r="Q28" s="17" t="s">
        <v>60</v>
      </c>
      <c r="R28" s="17" t="s">
        <v>60</v>
      </c>
      <c r="S28" s="67" t="s">
        <v>60</v>
      </c>
      <c r="T28" s="39" t="s">
        <v>60</v>
      </c>
      <c r="U28" s="101" t="s">
        <v>60</v>
      </c>
      <c r="V28" s="112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67"/>
      <c r="AM28" s="39" t="s">
        <v>60</v>
      </c>
      <c r="AN28" s="17" t="s">
        <v>60</v>
      </c>
      <c r="AO28" s="17"/>
      <c r="AP28" s="17"/>
      <c r="AQ28" s="17" t="s">
        <v>60</v>
      </c>
      <c r="AR28" s="17" t="s">
        <v>60</v>
      </c>
      <c r="AS28" s="17"/>
      <c r="AT28" s="17" t="s">
        <v>60</v>
      </c>
      <c r="AU28" s="17" t="s">
        <v>60</v>
      </c>
      <c r="AV28" s="17"/>
      <c r="AW28" s="17" t="s">
        <v>60</v>
      </c>
      <c r="AX28" s="17"/>
      <c r="AY28" s="17"/>
      <c r="AZ28" s="17"/>
    </row>
    <row r="29" spans="1:52" s="3" customFormat="1">
      <c r="A29" s="3" t="s">
        <v>51</v>
      </c>
      <c r="B29" s="3" t="s">
        <v>48</v>
      </c>
      <c r="C29" s="29" t="s">
        <v>6</v>
      </c>
      <c r="D29" s="51">
        <v>10</v>
      </c>
      <c r="E29" s="3">
        <v>2</v>
      </c>
      <c r="F29" s="3">
        <v>1085</v>
      </c>
      <c r="G29" s="3">
        <v>1130</v>
      </c>
      <c r="H29" s="88">
        <f t="shared" si="1"/>
        <v>56.5</v>
      </c>
      <c r="I29" s="111" t="s">
        <v>60</v>
      </c>
      <c r="J29" s="3" t="s">
        <v>72</v>
      </c>
      <c r="K29" s="3" t="s">
        <v>75</v>
      </c>
      <c r="L29" s="3" t="s">
        <v>74</v>
      </c>
      <c r="M29" s="16" t="s">
        <v>60</v>
      </c>
      <c r="N29" s="66" t="s">
        <v>60</v>
      </c>
      <c r="O29" s="111" t="s">
        <v>60</v>
      </c>
      <c r="P29" s="16"/>
      <c r="Q29" s="16" t="s">
        <v>60</v>
      </c>
      <c r="R29" s="16" t="s">
        <v>60</v>
      </c>
      <c r="S29" s="66" t="s">
        <v>60</v>
      </c>
      <c r="T29" s="38" t="s">
        <v>60</v>
      </c>
      <c r="U29" s="100" t="s">
        <v>60</v>
      </c>
      <c r="V29" s="111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66"/>
      <c r="AM29" s="38" t="s">
        <v>60</v>
      </c>
      <c r="AN29" s="16" t="s">
        <v>60</v>
      </c>
      <c r="AO29" s="16"/>
      <c r="AP29" s="16"/>
      <c r="AQ29" s="16" t="s">
        <v>60</v>
      </c>
      <c r="AR29" s="16" t="s">
        <v>60</v>
      </c>
      <c r="AS29" s="16" t="s">
        <v>60</v>
      </c>
      <c r="AT29" s="16" t="s">
        <v>60</v>
      </c>
      <c r="AU29" s="16" t="s">
        <v>60</v>
      </c>
      <c r="AV29" s="16" t="s">
        <v>60</v>
      </c>
      <c r="AW29" s="16" t="s">
        <v>60</v>
      </c>
      <c r="AX29" s="16"/>
      <c r="AY29" s="16"/>
      <c r="AZ29" s="16"/>
    </row>
    <row r="30" spans="1:52" s="4" customFormat="1">
      <c r="A30" s="4" t="s">
        <v>51</v>
      </c>
      <c r="B30" s="4" t="s">
        <v>50</v>
      </c>
      <c r="C30" s="30" t="s">
        <v>39</v>
      </c>
      <c r="D30" s="52">
        <v>15</v>
      </c>
      <c r="E30" s="4">
        <v>2</v>
      </c>
      <c r="F30" s="4">
        <v>1585</v>
      </c>
      <c r="G30" s="4">
        <v>1835</v>
      </c>
      <c r="H30" s="89">
        <f t="shared" si="1"/>
        <v>61.166666666666664</v>
      </c>
      <c r="I30" s="112"/>
      <c r="J30" s="4" t="s">
        <v>72</v>
      </c>
      <c r="M30" s="17"/>
      <c r="N30" s="67"/>
      <c r="O30" s="112" t="s">
        <v>60</v>
      </c>
      <c r="P30" s="17"/>
      <c r="Q30" s="17" t="s">
        <v>60</v>
      </c>
      <c r="R30" s="17" t="s">
        <v>60</v>
      </c>
      <c r="S30" s="67" t="s">
        <v>60</v>
      </c>
      <c r="T30" s="39" t="s">
        <v>60</v>
      </c>
      <c r="U30" s="101" t="s">
        <v>60</v>
      </c>
      <c r="V30" s="112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67"/>
      <c r="AM30" s="39"/>
      <c r="AN30" s="17"/>
      <c r="AO30" s="17"/>
      <c r="AP30" s="17" t="s">
        <v>60</v>
      </c>
      <c r="AQ30" s="17" t="s">
        <v>60</v>
      </c>
      <c r="AR30" s="17" t="s">
        <v>60</v>
      </c>
      <c r="AS30" s="17"/>
      <c r="AT30" s="17" t="s">
        <v>60</v>
      </c>
      <c r="AU30" s="17" t="s">
        <v>60</v>
      </c>
      <c r="AV30" s="17"/>
      <c r="AW30" s="17" t="s">
        <v>60</v>
      </c>
      <c r="AX30" s="17"/>
      <c r="AY30" s="17" t="s">
        <v>60</v>
      </c>
      <c r="AZ30" s="17"/>
    </row>
    <row r="31" spans="1:52" s="4" customFormat="1">
      <c r="A31" s="4" t="s">
        <v>51</v>
      </c>
      <c r="B31" s="4" t="s">
        <v>50</v>
      </c>
      <c r="C31" s="30" t="s">
        <v>44</v>
      </c>
      <c r="D31" s="52">
        <v>15</v>
      </c>
      <c r="E31" s="4">
        <v>2</v>
      </c>
      <c r="F31" s="4">
        <v>2085</v>
      </c>
      <c r="G31" s="4">
        <v>2035</v>
      </c>
      <c r="H31" s="89">
        <f t="shared" si="1"/>
        <v>67.833333333333329</v>
      </c>
      <c r="I31" s="112"/>
      <c r="J31" s="4" t="s">
        <v>72</v>
      </c>
      <c r="M31" s="17"/>
      <c r="N31" s="67"/>
      <c r="O31" s="112" t="s">
        <v>60</v>
      </c>
      <c r="P31" s="17"/>
      <c r="Q31" s="17" t="s">
        <v>60</v>
      </c>
      <c r="R31" s="17" t="s">
        <v>60</v>
      </c>
      <c r="S31" s="67" t="s">
        <v>60</v>
      </c>
      <c r="T31" s="39" t="s">
        <v>60</v>
      </c>
      <c r="U31" s="101" t="s">
        <v>60</v>
      </c>
      <c r="V31" s="112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67"/>
      <c r="AM31" s="39"/>
      <c r="AN31" s="17"/>
      <c r="AO31" s="17"/>
      <c r="AP31" s="17"/>
      <c r="AQ31" s="17" t="s">
        <v>60</v>
      </c>
      <c r="AR31" s="17" t="s">
        <v>60</v>
      </c>
      <c r="AS31" s="17" t="s">
        <v>60</v>
      </c>
      <c r="AT31" s="17" t="s">
        <v>60</v>
      </c>
      <c r="AU31" s="17"/>
      <c r="AV31" s="17" t="s">
        <v>60</v>
      </c>
      <c r="AW31" s="17"/>
      <c r="AX31" s="17" t="s">
        <v>60</v>
      </c>
      <c r="AY31" s="17" t="s">
        <v>60</v>
      </c>
      <c r="AZ31" s="17" t="s">
        <v>60</v>
      </c>
    </row>
    <row r="32" spans="1:52" s="5" customFormat="1">
      <c r="A32" s="118" t="s">
        <v>109</v>
      </c>
      <c r="B32" s="118" t="s">
        <v>4</v>
      </c>
      <c r="C32" s="119" t="s">
        <v>89</v>
      </c>
      <c r="D32" s="53">
        <v>4</v>
      </c>
      <c r="E32" s="5">
        <v>1</v>
      </c>
      <c r="F32" s="5">
        <v>170</v>
      </c>
      <c r="G32" s="5">
        <v>100</v>
      </c>
      <c r="H32" s="90">
        <f t="shared" si="1"/>
        <v>25</v>
      </c>
      <c r="I32" s="68"/>
      <c r="K32" s="118" t="s">
        <v>88</v>
      </c>
      <c r="M32" s="18"/>
      <c r="N32" s="69"/>
      <c r="O32" s="120" t="s">
        <v>60</v>
      </c>
      <c r="P32" s="18"/>
      <c r="Q32" s="18"/>
      <c r="R32" s="18"/>
      <c r="S32" s="69"/>
      <c r="T32" s="40"/>
      <c r="U32" s="102"/>
      <c r="V32" s="6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69"/>
      <c r="AM32" s="40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1:52" s="5" customFormat="1">
      <c r="A33" s="5" t="s">
        <v>109</v>
      </c>
      <c r="B33" s="118" t="s">
        <v>4</v>
      </c>
      <c r="C33" s="119" t="s">
        <v>90</v>
      </c>
      <c r="D33" s="53">
        <v>4</v>
      </c>
      <c r="E33" s="5">
        <v>1</v>
      </c>
      <c r="F33" s="5">
        <v>170</v>
      </c>
      <c r="G33" s="5">
        <v>120</v>
      </c>
      <c r="H33" s="90">
        <f t="shared" si="1"/>
        <v>30</v>
      </c>
      <c r="I33" s="68"/>
      <c r="K33" s="118" t="s">
        <v>88</v>
      </c>
      <c r="M33" s="18"/>
      <c r="N33" s="69"/>
      <c r="O33" s="120" t="s">
        <v>60</v>
      </c>
      <c r="P33" s="18"/>
      <c r="Q33" s="18"/>
      <c r="R33" s="123" t="s">
        <v>86</v>
      </c>
      <c r="S33" s="69"/>
      <c r="T33" s="40"/>
      <c r="U33" s="102"/>
      <c r="V33" s="6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69"/>
      <c r="AM33" s="40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1:52" s="6" customFormat="1">
      <c r="A34" s="6" t="s">
        <v>109</v>
      </c>
      <c r="B34" s="121" t="s">
        <v>5</v>
      </c>
      <c r="C34" s="122" t="s">
        <v>91</v>
      </c>
      <c r="D34" s="54">
        <v>8</v>
      </c>
      <c r="E34" s="6">
        <v>1</v>
      </c>
      <c r="F34" s="6">
        <v>440</v>
      </c>
      <c r="G34" s="6">
        <v>220</v>
      </c>
      <c r="H34" s="90">
        <f t="shared" si="1"/>
        <v>27.5</v>
      </c>
      <c r="I34" s="70"/>
      <c r="K34" s="121" t="s">
        <v>88</v>
      </c>
      <c r="M34" s="19"/>
      <c r="N34" s="71"/>
      <c r="O34" s="125" t="s">
        <v>60</v>
      </c>
      <c r="P34" s="19"/>
      <c r="Q34" s="19"/>
      <c r="R34" s="126" t="s">
        <v>60</v>
      </c>
      <c r="S34" s="71"/>
      <c r="T34" s="124" t="s">
        <v>60</v>
      </c>
      <c r="U34" s="103"/>
      <c r="V34" s="70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71"/>
      <c r="AM34" s="41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</row>
    <row r="35" spans="1:52" s="6" customFormat="1">
      <c r="A35" s="6" t="s">
        <v>109</v>
      </c>
      <c r="B35" s="121" t="s">
        <v>5</v>
      </c>
      <c r="C35" s="122" t="s">
        <v>92</v>
      </c>
      <c r="D35" s="54">
        <v>8</v>
      </c>
      <c r="E35" s="6">
        <v>1</v>
      </c>
      <c r="F35" s="6">
        <v>440</v>
      </c>
      <c r="G35" s="6">
        <v>220</v>
      </c>
      <c r="H35" s="90">
        <f t="shared" si="1"/>
        <v>27.5</v>
      </c>
      <c r="I35" s="70"/>
      <c r="K35" s="121" t="s">
        <v>88</v>
      </c>
      <c r="M35" s="19"/>
      <c r="N35" s="71"/>
      <c r="O35" s="125" t="s">
        <v>60</v>
      </c>
      <c r="P35" s="19"/>
      <c r="Q35" s="19"/>
      <c r="R35" s="126" t="s">
        <v>60</v>
      </c>
      <c r="S35" s="71"/>
      <c r="T35" s="124" t="s">
        <v>60</v>
      </c>
      <c r="U35" s="103"/>
      <c r="V35" s="70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71"/>
      <c r="AM35" s="41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</row>
    <row r="36" spans="1:52" s="6" customFormat="1">
      <c r="A36" s="6" t="s">
        <v>109</v>
      </c>
      <c r="B36" s="121" t="s">
        <v>5</v>
      </c>
      <c r="C36" s="122" t="s">
        <v>93</v>
      </c>
      <c r="D36" s="54">
        <v>8</v>
      </c>
      <c r="E36" s="6">
        <v>1</v>
      </c>
      <c r="F36" s="6">
        <v>440</v>
      </c>
      <c r="G36" s="6">
        <v>220</v>
      </c>
      <c r="H36" s="90">
        <f t="shared" si="1"/>
        <v>27.5</v>
      </c>
      <c r="I36" s="70"/>
      <c r="K36" s="121" t="s">
        <v>88</v>
      </c>
      <c r="M36" s="19"/>
      <c r="N36" s="71"/>
      <c r="O36" s="125" t="s">
        <v>60</v>
      </c>
      <c r="P36" s="19"/>
      <c r="Q36" s="19"/>
      <c r="R36" s="126" t="s">
        <v>60</v>
      </c>
      <c r="S36" s="71"/>
      <c r="T36" s="124" t="s">
        <v>60</v>
      </c>
      <c r="U36" s="103"/>
      <c r="V36" s="70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71"/>
      <c r="AM36" s="41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</row>
    <row r="37" spans="1:52" s="6" customFormat="1">
      <c r="A37" s="6" t="s">
        <v>109</v>
      </c>
      <c r="B37" s="121" t="s">
        <v>5</v>
      </c>
      <c r="C37" s="122" t="s">
        <v>94</v>
      </c>
      <c r="D37" s="54">
        <v>8</v>
      </c>
      <c r="E37" s="6">
        <v>1</v>
      </c>
      <c r="F37" s="6">
        <v>440</v>
      </c>
      <c r="G37" s="6">
        <v>200</v>
      </c>
      <c r="H37" s="90">
        <f t="shared" si="1"/>
        <v>25</v>
      </c>
      <c r="I37" s="70"/>
      <c r="K37" s="121" t="s">
        <v>88</v>
      </c>
      <c r="M37" s="19"/>
      <c r="N37" s="71"/>
      <c r="O37" s="125" t="s">
        <v>60</v>
      </c>
      <c r="P37" s="19"/>
      <c r="Q37" s="19"/>
      <c r="R37" s="19"/>
      <c r="S37" s="71"/>
      <c r="T37" s="124" t="s">
        <v>60</v>
      </c>
      <c r="U37" s="103"/>
      <c r="V37" s="70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71"/>
      <c r="AM37" s="41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</row>
    <row r="38" spans="1:52" s="6" customFormat="1">
      <c r="A38" s="6" t="s">
        <v>109</v>
      </c>
      <c r="B38" s="121" t="s">
        <v>5</v>
      </c>
      <c r="C38" s="122" t="s">
        <v>95</v>
      </c>
      <c r="D38" s="54">
        <v>8</v>
      </c>
      <c r="E38" s="6">
        <v>1</v>
      </c>
      <c r="F38" s="6">
        <v>440</v>
      </c>
      <c r="G38" s="6">
        <v>220</v>
      </c>
      <c r="H38" s="90">
        <f t="shared" si="1"/>
        <v>27.5</v>
      </c>
      <c r="I38" s="70"/>
      <c r="K38" s="121" t="s">
        <v>88</v>
      </c>
      <c r="M38" s="19"/>
      <c r="N38" s="71"/>
      <c r="O38" s="125" t="s">
        <v>60</v>
      </c>
      <c r="P38" s="19"/>
      <c r="Q38" s="19"/>
      <c r="R38" s="126" t="s">
        <v>60</v>
      </c>
      <c r="S38" s="71"/>
      <c r="T38" s="124" t="s">
        <v>60</v>
      </c>
      <c r="U38" s="103"/>
      <c r="V38" s="70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71"/>
      <c r="AM38" s="41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</row>
    <row r="39" spans="1:52" s="5" customFormat="1">
      <c r="A39" s="5" t="s">
        <v>109</v>
      </c>
      <c r="B39" s="118" t="s">
        <v>6</v>
      </c>
      <c r="C39" s="119" t="s">
        <v>96</v>
      </c>
      <c r="D39" s="53">
        <v>16</v>
      </c>
      <c r="E39" s="5">
        <v>1</v>
      </c>
      <c r="F39" s="5">
        <v>1045</v>
      </c>
      <c r="G39" s="5">
        <v>560</v>
      </c>
      <c r="H39" s="90">
        <f t="shared" si="1"/>
        <v>35</v>
      </c>
      <c r="I39" s="68"/>
      <c r="K39" s="118" t="s">
        <v>88</v>
      </c>
      <c r="L39" s="118" t="s">
        <v>73</v>
      </c>
      <c r="M39" s="18"/>
      <c r="N39" s="69"/>
      <c r="O39" s="120" t="s">
        <v>60</v>
      </c>
      <c r="P39" s="18"/>
      <c r="Q39" s="123" t="s">
        <v>60</v>
      </c>
      <c r="R39" s="123" t="s">
        <v>60</v>
      </c>
      <c r="S39" s="127" t="s">
        <v>60</v>
      </c>
      <c r="T39" s="128" t="s">
        <v>60</v>
      </c>
      <c r="U39" s="102"/>
      <c r="V39" s="6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69"/>
      <c r="AM39" s="40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1:52" s="5" customFormat="1">
      <c r="A40" s="5" t="s">
        <v>109</v>
      </c>
      <c r="B40" s="118" t="s">
        <v>6</v>
      </c>
      <c r="C40" s="119" t="s">
        <v>97</v>
      </c>
      <c r="D40" s="53">
        <v>16</v>
      </c>
      <c r="E40" s="5">
        <v>1</v>
      </c>
      <c r="F40" s="5">
        <v>1045</v>
      </c>
      <c r="G40" s="5">
        <v>560</v>
      </c>
      <c r="H40" s="90">
        <f t="shared" si="1"/>
        <v>35</v>
      </c>
      <c r="I40" s="68"/>
      <c r="K40" s="118" t="s">
        <v>88</v>
      </c>
      <c r="L40" s="118" t="s">
        <v>73</v>
      </c>
      <c r="M40" s="18"/>
      <c r="N40" s="69"/>
      <c r="O40" s="120" t="s">
        <v>60</v>
      </c>
      <c r="P40" s="18"/>
      <c r="Q40" s="18"/>
      <c r="R40" s="123" t="s">
        <v>60</v>
      </c>
      <c r="S40" s="127" t="s">
        <v>60</v>
      </c>
      <c r="T40" s="128" t="s">
        <v>60</v>
      </c>
      <c r="U40" s="102"/>
      <c r="V40" s="6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69"/>
      <c r="AM40" s="40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1:52" s="5" customFormat="1">
      <c r="A41" s="5" t="s">
        <v>109</v>
      </c>
      <c r="B41" s="118" t="s">
        <v>6</v>
      </c>
      <c r="C41" s="119" t="s">
        <v>98</v>
      </c>
      <c r="D41" s="53">
        <v>16</v>
      </c>
      <c r="E41" s="5">
        <v>1</v>
      </c>
      <c r="F41" s="5">
        <v>1045</v>
      </c>
      <c r="G41" s="5">
        <v>560</v>
      </c>
      <c r="H41" s="90">
        <f t="shared" si="1"/>
        <v>35</v>
      </c>
      <c r="I41" s="68"/>
      <c r="K41" s="118" t="s">
        <v>88</v>
      </c>
      <c r="L41" s="118" t="s">
        <v>73</v>
      </c>
      <c r="M41" s="18"/>
      <c r="N41" s="69"/>
      <c r="O41" s="120" t="s">
        <v>60</v>
      </c>
      <c r="P41" s="18"/>
      <c r="Q41" s="18"/>
      <c r="R41" s="123" t="s">
        <v>60</v>
      </c>
      <c r="S41" s="127" t="s">
        <v>60</v>
      </c>
      <c r="T41" s="128" t="s">
        <v>60</v>
      </c>
      <c r="U41" s="102"/>
      <c r="V41" s="6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69"/>
      <c r="AM41" s="40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1:52" s="5" customFormat="1">
      <c r="A42" s="5" t="s">
        <v>109</v>
      </c>
      <c r="B42" s="118" t="s">
        <v>6</v>
      </c>
      <c r="C42" s="119" t="s">
        <v>99</v>
      </c>
      <c r="D42" s="53">
        <v>16</v>
      </c>
      <c r="E42" s="5">
        <v>1</v>
      </c>
      <c r="F42" s="5">
        <v>1045</v>
      </c>
      <c r="G42" s="5">
        <v>570</v>
      </c>
      <c r="H42" s="90">
        <f t="shared" si="1"/>
        <v>35.625</v>
      </c>
      <c r="I42" s="68"/>
      <c r="M42" s="18"/>
      <c r="N42" s="69"/>
      <c r="O42" s="120" t="s">
        <v>60</v>
      </c>
      <c r="P42" s="18"/>
      <c r="Q42" s="18"/>
      <c r="R42" s="123" t="s">
        <v>60</v>
      </c>
      <c r="S42" s="127" t="s">
        <v>60</v>
      </c>
      <c r="T42" s="128" t="s">
        <v>60</v>
      </c>
      <c r="U42" s="102"/>
      <c r="V42" s="6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69"/>
      <c r="AM42" s="40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1:52" s="5" customFormat="1">
      <c r="A43" s="5" t="s">
        <v>109</v>
      </c>
      <c r="B43" s="118" t="s">
        <v>6</v>
      </c>
      <c r="C43" s="119" t="s">
        <v>100</v>
      </c>
      <c r="D43" s="53">
        <v>16</v>
      </c>
      <c r="E43" s="5">
        <v>1</v>
      </c>
      <c r="F43" s="5">
        <v>1045</v>
      </c>
      <c r="G43" s="5">
        <v>570</v>
      </c>
      <c r="H43" s="90">
        <f t="shared" si="1"/>
        <v>35.625</v>
      </c>
      <c r="I43" s="68"/>
      <c r="M43" s="18"/>
      <c r="N43" s="69"/>
      <c r="O43" s="120" t="s">
        <v>60</v>
      </c>
      <c r="P43" s="18"/>
      <c r="Q43" s="18"/>
      <c r="R43" s="123" t="s">
        <v>60</v>
      </c>
      <c r="S43" s="127" t="s">
        <v>60</v>
      </c>
      <c r="T43" s="128" t="s">
        <v>60</v>
      </c>
      <c r="U43" s="102"/>
      <c r="V43" s="6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69"/>
      <c r="AM43" s="40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1:52" s="6" customFormat="1">
      <c r="A44" s="6" t="s">
        <v>109</v>
      </c>
      <c r="B44" s="121" t="s">
        <v>108</v>
      </c>
      <c r="C44" s="122" t="s">
        <v>101</v>
      </c>
      <c r="D44" s="54">
        <v>14</v>
      </c>
      <c r="E44" s="6">
        <v>1</v>
      </c>
      <c r="F44" s="6">
        <v>2540</v>
      </c>
      <c r="G44" s="6">
        <v>740</v>
      </c>
      <c r="H44" s="90">
        <f t="shared" si="1"/>
        <v>52.857142857142854</v>
      </c>
      <c r="I44" s="125" t="s">
        <v>60</v>
      </c>
      <c r="M44" s="19"/>
      <c r="N44" s="71"/>
      <c r="O44" s="125" t="s">
        <v>60</v>
      </c>
      <c r="P44" s="19"/>
      <c r="Q44" s="19"/>
      <c r="R44" s="126" t="s">
        <v>60</v>
      </c>
      <c r="S44" s="129" t="s">
        <v>60</v>
      </c>
      <c r="T44" s="124" t="s">
        <v>60</v>
      </c>
      <c r="U44" s="130" t="s">
        <v>60</v>
      </c>
      <c r="V44" s="70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71"/>
      <c r="AM44" s="41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</row>
    <row r="45" spans="1:52" s="6" customFormat="1">
      <c r="A45" s="6" t="s">
        <v>109</v>
      </c>
      <c r="B45" s="121" t="s">
        <v>108</v>
      </c>
      <c r="C45" s="122" t="s">
        <v>103</v>
      </c>
      <c r="D45" s="54">
        <v>14</v>
      </c>
      <c r="E45" s="6">
        <v>1</v>
      </c>
      <c r="F45" s="6">
        <v>2540</v>
      </c>
      <c r="G45" s="6">
        <v>910</v>
      </c>
      <c r="H45" s="90">
        <f t="shared" si="1"/>
        <v>65</v>
      </c>
      <c r="I45" s="125" t="s">
        <v>60</v>
      </c>
      <c r="M45" s="19"/>
      <c r="N45" s="71"/>
      <c r="O45" s="125" t="s">
        <v>60</v>
      </c>
      <c r="P45" s="19"/>
      <c r="Q45" s="19"/>
      <c r="R45" s="126" t="s">
        <v>60</v>
      </c>
      <c r="S45" s="129" t="s">
        <v>60</v>
      </c>
      <c r="T45" s="124" t="s">
        <v>60</v>
      </c>
      <c r="U45" s="130" t="s">
        <v>60</v>
      </c>
      <c r="V45" s="70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71"/>
      <c r="AM45" s="41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</row>
    <row r="46" spans="1:52" s="6" customFormat="1">
      <c r="A46" s="6" t="s">
        <v>109</v>
      </c>
      <c r="B46" s="121" t="s">
        <v>108</v>
      </c>
      <c r="C46" s="122" t="s">
        <v>104</v>
      </c>
      <c r="D46" s="54">
        <v>14</v>
      </c>
      <c r="E46" s="6">
        <v>1</v>
      </c>
      <c r="F46" s="6">
        <v>2540</v>
      </c>
      <c r="G46" s="6">
        <v>740</v>
      </c>
      <c r="H46" s="90">
        <f t="shared" si="1"/>
        <v>52.857142857142854</v>
      </c>
      <c r="I46" s="125" t="s">
        <v>60</v>
      </c>
      <c r="M46" s="19"/>
      <c r="N46" s="71"/>
      <c r="O46" s="125" t="s">
        <v>60</v>
      </c>
      <c r="P46" s="19"/>
      <c r="Q46" s="19"/>
      <c r="R46" s="126" t="s">
        <v>60</v>
      </c>
      <c r="S46" s="129" t="s">
        <v>60</v>
      </c>
      <c r="T46" s="124" t="s">
        <v>60</v>
      </c>
      <c r="U46" s="130" t="s">
        <v>60</v>
      </c>
      <c r="V46" s="70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71"/>
      <c r="AM46" s="41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</row>
    <row r="47" spans="1:52" s="6" customFormat="1">
      <c r="A47" s="6" t="s">
        <v>109</v>
      </c>
      <c r="B47" s="121" t="s">
        <v>108</v>
      </c>
      <c r="C47" s="122" t="s">
        <v>105</v>
      </c>
      <c r="D47" s="54">
        <v>14</v>
      </c>
      <c r="E47" s="6">
        <v>1</v>
      </c>
      <c r="F47" s="6">
        <v>2540</v>
      </c>
      <c r="G47" s="6">
        <v>910</v>
      </c>
      <c r="H47" s="90">
        <f t="shared" si="1"/>
        <v>65</v>
      </c>
      <c r="I47" s="125" t="s">
        <v>60</v>
      </c>
      <c r="M47" s="19"/>
      <c r="N47" s="71"/>
      <c r="O47" s="125" t="s">
        <v>60</v>
      </c>
      <c r="P47" s="19"/>
      <c r="Q47" s="19"/>
      <c r="R47" s="126" t="s">
        <v>60</v>
      </c>
      <c r="S47" s="129" t="s">
        <v>60</v>
      </c>
      <c r="T47" s="124" t="s">
        <v>60</v>
      </c>
      <c r="U47" s="130" t="s">
        <v>60</v>
      </c>
      <c r="V47" s="70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71"/>
      <c r="AM47" s="41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</row>
    <row r="48" spans="1:52" s="6" customFormat="1">
      <c r="A48" s="6" t="s">
        <v>109</v>
      </c>
      <c r="B48" s="121" t="s">
        <v>108</v>
      </c>
      <c r="C48" s="122" t="s">
        <v>106</v>
      </c>
      <c r="D48" s="54">
        <v>14</v>
      </c>
      <c r="E48" s="6">
        <v>1</v>
      </c>
      <c r="F48" s="6">
        <v>2540</v>
      </c>
      <c r="G48" s="6">
        <v>890</v>
      </c>
      <c r="H48" s="90">
        <f t="shared" si="1"/>
        <v>63.571428571428569</v>
      </c>
      <c r="I48" s="125" t="s">
        <v>60</v>
      </c>
      <c r="M48" s="19"/>
      <c r="N48" s="71"/>
      <c r="O48" s="125" t="s">
        <v>60</v>
      </c>
      <c r="P48" s="19"/>
      <c r="Q48" s="19"/>
      <c r="R48" s="126" t="s">
        <v>60</v>
      </c>
      <c r="S48" s="129" t="s">
        <v>60</v>
      </c>
      <c r="T48" s="124" t="s">
        <v>60</v>
      </c>
      <c r="U48" s="130" t="s">
        <v>60</v>
      </c>
      <c r="V48" s="70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71"/>
      <c r="AM48" s="41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</row>
    <row r="49" spans="1:52" s="6" customFormat="1">
      <c r="A49" s="6" t="s">
        <v>109</v>
      </c>
      <c r="B49" s="121" t="s">
        <v>108</v>
      </c>
      <c r="C49" s="122" t="s">
        <v>107</v>
      </c>
      <c r="D49" s="54">
        <v>14</v>
      </c>
      <c r="E49" s="6">
        <v>1</v>
      </c>
      <c r="F49" s="6">
        <v>2540</v>
      </c>
      <c r="G49" s="6">
        <v>900</v>
      </c>
      <c r="H49" s="90">
        <f t="shared" si="1"/>
        <v>64.285714285714292</v>
      </c>
      <c r="I49" s="125" t="s">
        <v>60</v>
      </c>
      <c r="M49" s="19"/>
      <c r="N49" s="71"/>
      <c r="O49" s="125" t="s">
        <v>60</v>
      </c>
      <c r="P49" s="19"/>
      <c r="Q49" s="19"/>
      <c r="R49" s="126" t="s">
        <v>60</v>
      </c>
      <c r="S49" s="129" t="s">
        <v>60</v>
      </c>
      <c r="T49" s="124" t="s">
        <v>60</v>
      </c>
      <c r="U49" s="130" t="s">
        <v>60</v>
      </c>
      <c r="V49" s="70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71"/>
      <c r="AM49" s="41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</row>
    <row r="50" spans="1:52" s="7" customFormat="1">
      <c r="A50" s="132" t="s">
        <v>117</v>
      </c>
      <c r="B50" s="132" t="s">
        <v>4</v>
      </c>
      <c r="C50" s="131" t="s">
        <v>110</v>
      </c>
      <c r="D50" s="55">
        <v>7</v>
      </c>
      <c r="E50" s="7">
        <v>1</v>
      </c>
      <c r="F50" s="7">
        <v>435</v>
      </c>
      <c r="G50" s="7">
        <v>210</v>
      </c>
      <c r="H50" s="91">
        <f t="shared" si="1"/>
        <v>30</v>
      </c>
      <c r="I50" s="72"/>
      <c r="K50" s="132" t="s">
        <v>88</v>
      </c>
      <c r="M50" s="20"/>
      <c r="N50" s="73"/>
      <c r="O50" s="134" t="s">
        <v>60</v>
      </c>
      <c r="P50" s="20"/>
      <c r="Q50" s="20"/>
      <c r="R50" s="20"/>
      <c r="S50" s="73"/>
      <c r="T50" s="42"/>
      <c r="U50" s="104"/>
      <c r="V50" s="7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73"/>
      <c r="AM50" s="42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</row>
    <row r="51" spans="1:52" s="7" customFormat="1">
      <c r="A51" s="7" t="s">
        <v>117</v>
      </c>
      <c r="B51" s="132" t="s">
        <v>4</v>
      </c>
      <c r="C51" s="131" t="s">
        <v>111</v>
      </c>
      <c r="D51" s="55">
        <v>7</v>
      </c>
      <c r="E51" s="7">
        <v>1</v>
      </c>
      <c r="F51" s="7">
        <v>435</v>
      </c>
      <c r="G51" s="7">
        <v>270</v>
      </c>
      <c r="H51" s="91">
        <f t="shared" si="1"/>
        <v>38.571428571428569</v>
      </c>
      <c r="I51" s="72"/>
      <c r="K51" s="132" t="s">
        <v>88</v>
      </c>
      <c r="M51" s="20"/>
      <c r="N51" s="73"/>
      <c r="O51" s="134" t="s">
        <v>60</v>
      </c>
      <c r="P51" s="135" t="s">
        <v>60</v>
      </c>
      <c r="Q51" s="20"/>
      <c r="R51" s="20"/>
      <c r="S51" s="73"/>
      <c r="T51" s="42"/>
      <c r="U51" s="104"/>
      <c r="V51" s="7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73"/>
      <c r="AM51" s="42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</row>
    <row r="52" spans="1:52" s="7" customFormat="1">
      <c r="A52" s="7" t="s">
        <v>117</v>
      </c>
      <c r="B52" s="132" t="s">
        <v>4</v>
      </c>
      <c r="C52" s="131" t="s">
        <v>112</v>
      </c>
      <c r="D52" s="55">
        <v>7</v>
      </c>
      <c r="E52" s="7">
        <v>1</v>
      </c>
      <c r="F52" s="7">
        <v>435</v>
      </c>
      <c r="G52" s="7">
        <v>210</v>
      </c>
      <c r="H52" s="91">
        <f t="shared" ref="H52:H53" si="2">G52/(D52*E52)</f>
        <v>30</v>
      </c>
      <c r="I52" s="72"/>
      <c r="K52" s="132" t="s">
        <v>88</v>
      </c>
      <c r="M52" s="20"/>
      <c r="N52" s="73"/>
      <c r="O52" s="134" t="s">
        <v>60</v>
      </c>
      <c r="P52" s="20"/>
      <c r="Q52" s="20"/>
      <c r="R52" s="20"/>
      <c r="S52" s="73"/>
      <c r="T52" s="42"/>
      <c r="U52" s="104"/>
      <c r="V52" s="7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73"/>
      <c r="AM52" s="42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</row>
    <row r="53" spans="1:52" s="7" customFormat="1">
      <c r="A53" s="7" t="s">
        <v>117</v>
      </c>
      <c r="B53" s="132" t="s">
        <v>4</v>
      </c>
      <c r="C53" s="131" t="s">
        <v>113</v>
      </c>
      <c r="D53" s="55">
        <v>7</v>
      </c>
      <c r="E53" s="7">
        <v>1</v>
      </c>
      <c r="F53" s="7">
        <v>435</v>
      </c>
      <c r="G53" s="7">
        <v>270</v>
      </c>
      <c r="H53" s="91">
        <f t="shared" si="2"/>
        <v>38.571428571428569</v>
      </c>
      <c r="I53" s="72"/>
      <c r="K53" s="132" t="s">
        <v>88</v>
      </c>
      <c r="M53" s="20"/>
      <c r="N53" s="73"/>
      <c r="O53" s="134" t="s">
        <v>60</v>
      </c>
      <c r="P53" s="135" t="s">
        <v>60</v>
      </c>
      <c r="Q53" s="20"/>
      <c r="R53" s="20"/>
      <c r="S53" s="73"/>
      <c r="T53" s="42"/>
      <c r="U53" s="104"/>
      <c r="V53" s="7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73"/>
      <c r="AM53" s="42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</row>
    <row r="54" spans="1:52" s="7" customFormat="1">
      <c r="A54" s="7" t="s">
        <v>117</v>
      </c>
      <c r="B54" s="132" t="s">
        <v>4</v>
      </c>
      <c r="C54" s="131" t="s">
        <v>114</v>
      </c>
      <c r="D54" s="55">
        <v>7</v>
      </c>
      <c r="E54" s="7">
        <v>1</v>
      </c>
      <c r="F54" s="7">
        <v>435</v>
      </c>
      <c r="G54" s="7">
        <v>210</v>
      </c>
      <c r="H54" s="91">
        <f t="shared" ref="H54:H57" si="3">G54/(D54*E54)</f>
        <v>30</v>
      </c>
      <c r="I54" s="72"/>
      <c r="K54" s="132" t="s">
        <v>88</v>
      </c>
      <c r="M54" s="20"/>
      <c r="N54" s="73"/>
      <c r="O54" s="134" t="s">
        <v>60</v>
      </c>
      <c r="P54" s="20"/>
      <c r="Q54" s="20"/>
      <c r="R54" s="20"/>
      <c r="S54" s="73"/>
      <c r="T54" s="42"/>
      <c r="U54" s="104"/>
      <c r="V54" s="7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73"/>
      <c r="AM54" s="42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</row>
    <row r="55" spans="1:52" s="7" customFormat="1">
      <c r="A55" s="7" t="s">
        <v>117</v>
      </c>
      <c r="B55" s="132" t="s">
        <v>4</v>
      </c>
      <c r="C55" s="131" t="s">
        <v>115</v>
      </c>
      <c r="D55" s="55">
        <v>7</v>
      </c>
      <c r="E55" s="7">
        <v>1</v>
      </c>
      <c r="F55" s="7">
        <v>435</v>
      </c>
      <c r="G55" s="7">
        <v>210</v>
      </c>
      <c r="H55" s="91">
        <f t="shared" si="3"/>
        <v>30</v>
      </c>
      <c r="I55" s="72"/>
      <c r="K55" s="132" t="s">
        <v>88</v>
      </c>
      <c r="M55" s="20"/>
      <c r="N55" s="73"/>
      <c r="O55" s="134" t="s">
        <v>60</v>
      </c>
      <c r="P55" s="20"/>
      <c r="Q55" s="20"/>
      <c r="R55" s="20"/>
      <c r="S55" s="73"/>
      <c r="T55" s="42"/>
      <c r="U55" s="104"/>
      <c r="V55" s="7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73"/>
      <c r="AM55" s="42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</row>
    <row r="56" spans="1:52" s="8" customFormat="1">
      <c r="A56" s="8" t="s">
        <v>117</v>
      </c>
      <c r="B56" s="133" t="s">
        <v>5</v>
      </c>
      <c r="C56" s="136" t="s">
        <v>118</v>
      </c>
      <c r="D56" s="56">
        <v>12</v>
      </c>
      <c r="E56" s="8">
        <v>1</v>
      </c>
      <c r="F56" s="8">
        <v>835</v>
      </c>
      <c r="G56" s="8">
        <v>320</v>
      </c>
      <c r="H56" s="92">
        <f t="shared" si="3"/>
        <v>26.666666666666668</v>
      </c>
      <c r="I56" s="74"/>
      <c r="K56" s="133" t="s">
        <v>88</v>
      </c>
      <c r="M56" s="21"/>
      <c r="N56" s="137" t="s">
        <v>60</v>
      </c>
      <c r="O56" s="138" t="s">
        <v>60</v>
      </c>
      <c r="P56" s="21"/>
      <c r="Q56" s="21"/>
      <c r="R56" s="21"/>
      <c r="S56" s="75"/>
      <c r="T56" s="43"/>
      <c r="U56" s="105"/>
      <c r="V56" s="74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75"/>
      <c r="AM56" s="43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</row>
    <row r="57" spans="1:52" s="8" customFormat="1">
      <c r="A57" s="8" t="s">
        <v>117</v>
      </c>
      <c r="B57" s="133" t="s">
        <v>5</v>
      </c>
      <c r="C57" s="136" t="s">
        <v>119</v>
      </c>
      <c r="D57" s="56">
        <v>12</v>
      </c>
      <c r="E57" s="8">
        <v>1</v>
      </c>
      <c r="F57" s="8">
        <v>835</v>
      </c>
      <c r="G57" s="8">
        <v>500</v>
      </c>
      <c r="H57" s="92">
        <f t="shared" si="3"/>
        <v>41.666666666666664</v>
      </c>
      <c r="I57" s="74"/>
      <c r="K57" s="133" t="s">
        <v>88</v>
      </c>
      <c r="M57" s="21"/>
      <c r="N57" s="137" t="s">
        <v>60</v>
      </c>
      <c r="O57" s="138" t="s">
        <v>60</v>
      </c>
      <c r="P57" s="139" t="s">
        <v>60</v>
      </c>
      <c r="Q57" s="21"/>
      <c r="R57" s="21"/>
      <c r="S57" s="75"/>
      <c r="T57" s="43"/>
      <c r="U57" s="105"/>
      <c r="V57" s="74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75"/>
      <c r="AM57" s="43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</row>
    <row r="58" spans="1:52" s="8" customFormat="1">
      <c r="A58" s="8" t="s">
        <v>117</v>
      </c>
      <c r="B58" s="133" t="s">
        <v>5</v>
      </c>
      <c r="C58" s="136" t="s">
        <v>120</v>
      </c>
      <c r="D58" s="56">
        <v>12</v>
      </c>
      <c r="E58" s="8">
        <v>1</v>
      </c>
      <c r="F58" s="8">
        <v>835</v>
      </c>
      <c r="G58" s="8">
        <v>330</v>
      </c>
      <c r="H58" s="92">
        <f t="shared" ref="H58" si="4">G58/(D58*E58)</f>
        <v>27.5</v>
      </c>
      <c r="I58" s="74"/>
      <c r="K58" s="133" t="s">
        <v>88</v>
      </c>
      <c r="M58" s="21"/>
      <c r="N58" s="137" t="s">
        <v>60</v>
      </c>
      <c r="O58" s="138" t="s">
        <v>60</v>
      </c>
      <c r="P58" s="21"/>
      <c r="Q58" s="21"/>
      <c r="R58" s="21"/>
      <c r="S58" s="75"/>
      <c r="T58" s="43"/>
      <c r="U58" s="105"/>
      <c r="V58" s="74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75"/>
      <c r="AM58" s="43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</row>
    <row r="59" spans="1:52" s="8" customFormat="1">
      <c r="A59" s="8" t="s">
        <v>117</v>
      </c>
      <c r="B59" s="133" t="s">
        <v>5</v>
      </c>
      <c r="C59" s="136" t="s">
        <v>121</v>
      </c>
      <c r="D59" s="56">
        <v>12</v>
      </c>
      <c r="E59" s="8">
        <v>1</v>
      </c>
      <c r="F59" s="8">
        <v>835</v>
      </c>
      <c r="G59" s="8">
        <v>370</v>
      </c>
      <c r="H59" s="92">
        <f t="shared" ref="H59:H61" si="5">G59/(D59*E59)</f>
        <v>30.833333333333332</v>
      </c>
      <c r="I59" s="74"/>
      <c r="K59" s="133" t="s">
        <v>88</v>
      </c>
      <c r="M59" s="21"/>
      <c r="N59" s="137" t="s">
        <v>60</v>
      </c>
      <c r="O59" s="138" t="s">
        <v>60</v>
      </c>
      <c r="P59" s="21"/>
      <c r="Q59" s="21"/>
      <c r="R59" s="21"/>
      <c r="S59" s="75"/>
      <c r="T59" s="43"/>
      <c r="U59" s="105"/>
      <c r="V59" s="74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75"/>
      <c r="AM59" s="43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</row>
    <row r="60" spans="1:52" s="8" customFormat="1">
      <c r="A60" s="8" t="s">
        <v>117</v>
      </c>
      <c r="B60" s="133" t="s">
        <v>5</v>
      </c>
      <c r="C60" s="136" t="s">
        <v>122</v>
      </c>
      <c r="D60" s="56">
        <v>12</v>
      </c>
      <c r="E60" s="8">
        <v>1</v>
      </c>
      <c r="F60" s="8">
        <v>835</v>
      </c>
      <c r="G60" s="8">
        <v>330</v>
      </c>
      <c r="H60" s="92">
        <f t="shared" si="5"/>
        <v>27.5</v>
      </c>
      <c r="I60" s="74"/>
      <c r="K60" s="133" t="s">
        <v>88</v>
      </c>
      <c r="M60" s="21"/>
      <c r="N60" s="137" t="s">
        <v>60</v>
      </c>
      <c r="O60" s="138" t="s">
        <v>60</v>
      </c>
      <c r="P60" s="21"/>
      <c r="Q60" s="21"/>
      <c r="R60" s="21"/>
      <c r="S60" s="75"/>
      <c r="T60" s="43"/>
      <c r="U60" s="105"/>
      <c r="V60" s="74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75"/>
      <c r="AM60" s="43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</row>
    <row r="61" spans="1:52" s="7" customFormat="1">
      <c r="A61" s="7" t="s">
        <v>117</v>
      </c>
      <c r="B61" s="132" t="s">
        <v>6</v>
      </c>
      <c r="C61" s="131" t="s">
        <v>123</v>
      </c>
      <c r="D61" s="55">
        <v>12</v>
      </c>
      <c r="E61" s="7">
        <v>2</v>
      </c>
      <c r="F61" s="7">
        <v>1285</v>
      </c>
      <c r="G61" s="7">
        <v>790</v>
      </c>
      <c r="H61" s="91">
        <f t="shared" si="5"/>
        <v>32.916666666666664</v>
      </c>
      <c r="I61" s="134" t="s">
        <v>60</v>
      </c>
      <c r="K61" s="132" t="s">
        <v>88</v>
      </c>
      <c r="M61" s="20"/>
      <c r="N61" s="140" t="s">
        <v>60</v>
      </c>
      <c r="O61" s="134" t="s">
        <v>60</v>
      </c>
      <c r="P61" s="135" t="s">
        <v>60</v>
      </c>
      <c r="Q61" s="20"/>
      <c r="R61" s="20"/>
      <c r="S61" s="73"/>
      <c r="T61" s="42"/>
      <c r="U61" s="104"/>
      <c r="V61" s="7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73"/>
      <c r="AM61" s="42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</row>
    <row r="62" spans="1:52" s="7" customFormat="1">
      <c r="A62" s="7" t="s">
        <v>117</v>
      </c>
      <c r="B62" s="132" t="s">
        <v>6</v>
      </c>
      <c r="C62" s="131" t="s">
        <v>124</v>
      </c>
      <c r="D62" s="55">
        <v>12</v>
      </c>
      <c r="E62" s="7">
        <v>2</v>
      </c>
      <c r="F62" s="7">
        <v>1285</v>
      </c>
      <c r="G62" s="7">
        <v>790</v>
      </c>
      <c r="H62" s="91">
        <f t="shared" ref="H62:H65" si="6">G62/(D62*E62)</f>
        <v>32.916666666666664</v>
      </c>
      <c r="I62" s="134" t="s">
        <v>60</v>
      </c>
      <c r="K62" s="132" t="s">
        <v>88</v>
      </c>
      <c r="M62" s="20"/>
      <c r="N62" s="140" t="s">
        <v>60</v>
      </c>
      <c r="O62" s="134" t="s">
        <v>60</v>
      </c>
      <c r="P62" s="135" t="s">
        <v>60</v>
      </c>
      <c r="Q62" s="20"/>
      <c r="R62" s="20"/>
      <c r="S62" s="73"/>
      <c r="T62" s="42"/>
      <c r="U62" s="104"/>
      <c r="V62" s="7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73"/>
      <c r="AM62" s="42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</row>
    <row r="63" spans="1:52" s="7" customFormat="1">
      <c r="A63" s="7" t="s">
        <v>117</v>
      </c>
      <c r="B63" s="132" t="s">
        <v>6</v>
      </c>
      <c r="C63" s="131" t="s">
        <v>125</v>
      </c>
      <c r="D63" s="55">
        <v>12</v>
      </c>
      <c r="E63" s="7">
        <v>2</v>
      </c>
      <c r="F63" s="7">
        <v>1285</v>
      </c>
      <c r="G63" s="7">
        <v>790</v>
      </c>
      <c r="H63" s="91">
        <f t="shared" si="6"/>
        <v>32.916666666666664</v>
      </c>
      <c r="I63" s="134" t="s">
        <v>60</v>
      </c>
      <c r="K63" s="132" t="s">
        <v>88</v>
      </c>
      <c r="M63" s="20"/>
      <c r="N63" s="140" t="s">
        <v>60</v>
      </c>
      <c r="O63" s="134" t="s">
        <v>60</v>
      </c>
      <c r="P63" s="135" t="s">
        <v>60</v>
      </c>
      <c r="Q63" s="20"/>
      <c r="R63" s="20"/>
      <c r="S63" s="73"/>
      <c r="T63" s="42"/>
      <c r="U63" s="104"/>
      <c r="V63" s="7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73"/>
      <c r="AM63" s="42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</row>
    <row r="64" spans="1:52" s="7" customFormat="1">
      <c r="A64" s="7" t="s">
        <v>117</v>
      </c>
      <c r="B64" s="132" t="s">
        <v>6</v>
      </c>
      <c r="C64" s="131" t="s">
        <v>126</v>
      </c>
      <c r="D64" s="55">
        <v>12</v>
      </c>
      <c r="E64" s="7">
        <v>2</v>
      </c>
      <c r="F64" s="7">
        <v>1285</v>
      </c>
      <c r="G64" s="7">
        <v>790</v>
      </c>
      <c r="H64" s="91">
        <f t="shared" si="6"/>
        <v>32.916666666666664</v>
      </c>
      <c r="I64" s="134" t="s">
        <v>60</v>
      </c>
      <c r="K64" s="132" t="s">
        <v>88</v>
      </c>
      <c r="M64" s="20"/>
      <c r="N64" s="140" t="s">
        <v>60</v>
      </c>
      <c r="O64" s="134" t="s">
        <v>60</v>
      </c>
      <c r="P64" s="135" t="s">
        <v>60</v>
      </c>
      <c r="Q64" s="20"/>
      <c r="R64" s="20"/>
      <c r="S64" s="73"/>
      <c r="T64" s="42"/>
      <c r="U64" s="104"/>
      <c r="V64" s="7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73"/>
      <c r="AM64" s="42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</row>
    <row r="65" spans="1:52" s="8" customFormat="1">
      <c r="A65" s="8" t="s">
        <v>117</v>
      </c>
      <c r="B65" s="133" t="s">
        <v>116</v>
      </c>
      <c r="C65" s="136" t="s">
        <v>127</v>
      </c>
      <c r="D65" s="56">
        <v>8</v>
      </c>
      <c r="E65" s="8">
        <v>1</v>
      </c>
      <c r="F65" s="8">
        <v>1880</v>
      </c>
      <c r="G65" s="8">
        <v>790</v>
      </c>
      <c r="H65" s="92">
        <f t="shared" si="6"/>
        <v>98.75</v>
      </c>
      <c r="I65" s="138" t="s">
        <v>60</v>
      </c>
      <c r="K65" s="133" t="s">
        <v>88</v>
      </c>
      <c r="M65" s="139" t="s">
        <v>60</v>
      </c>
      <c r="N65" s="137" t="s">
        <v>60</v>
      </c>
      <c r="O65" s="138" t="s">
        <v>60</v>
      </c>
      <c r="P65" s="139" t="s">
        <v>60</v>
      </c>
      <c r="Q65" s="21"/>
      <c r="R65" s="21"/>
      <c r="S65" s="75"/>
      <c r="T65" s="43"/>
      <c r="U65" s="105"/>
      <c r="V65" s="74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75"/>
      <c r="AM65" s="43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</row>
    <row r="66" spans="1:52" s="8" customFormat="1">
      <c r="A66" s="8" t="s">
        <v>117</v>
      </c>
      <c r="B66" s="133" t="s">
        <v>116</v>
      </c>
      <c r="C66" s="136" t="s">
        <v>128</v>
      </c>
      <c r="D66" s="56">
        <v>8</v>
      </c>
      <c r="E66" s="8">
        <v>1</v>
      </c>
      <c r="F66" s="8">
        <v>1880</v>
      </c>
      <c r="G66" s="8">
        <v>770</v>
      </c>
      <c r="H66" s="92">
        <f t="shared" ref="H66" si="7">G66/(D66*E66)</f>
        <v>96.25</v>
      </c>
      <c r="I66" s="138" t="s">
        <v>60</v>
      </c>
      <c r="K66" s="133" t="s">
        <v>88</v>
      </c>
      <c r="M66" s="139" t="s">
        <v>60</v>
      </c>
      <c r="N66" s="137" t="s">
        <v>60</v>
      </c>
      <c r="O66" s="138" t="s">
        <v>60</v>
      </c>
      <c r="P66" s="139" t="s">
        <v>60</v>
      </c>
      <c r="Q66" s="21"/>
      <c r="R66" s="21"/>
      <c r="S66" s="75"/>
      <c r="T66" s="43"/>
      <c r="U66" s="105"/>
      <c r="V66" s="74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75"/>
      <c r="AM66" s="43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</row>
    <row r="67" spans="1:52" s="8" customFormat="1">
      <c r="A67" s="8" t="s">
        <v>117</v>
      </c>
      <c r="B67" s="133" t="s">
        <v>116</v>
      </c>
      <c r="C67" s="136" t="s">
        <v>129</v>
      </c>
      <c r="D67" s="56">
        <v>8</v>
      </c>
      <c r="E67" s="8">
        <v>1</v>
      </c>
      <c r="F67" s="8">
        <v>1880</v>
      </c>
      <c r="G67" s="8">
        <v>780</v>
      </c>
      <c r="H67" s="92">
        <f t="shared" ref="H67" si="8">G67/(D67*E67)</f>
        <v>97.5</v>
      </c>
      <c r="I67" s="138" t="s">
        <v>60</v>
      </c>
      <c r="K67" s="133" t="s">
        <v>88</v>
      </c>
      <c r="M67" s="139" t="s">
        <v>60</v>
      </c>
      <c r="N67" s="137" t="s">
        <v>60</v>
      </c>
      <c r="O67" s="138" t="s">
        <v>60</v>
      </c>
      <c r="P67" s="139" t="s">
        <v>60</v>
      </c>
      <c r="Q67" s="21"/>
      <c r="R67" s="21"/>
      <c r="S67" s="75"/>
      <c r="T67" s="43"/>
      <c r="U67" s="105"/>
      <c r="V67" s="74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75"/>
      <c r="AM67" s="43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</row>
    <row r="68" spans="1:52" s="8" customFormat="1">
      <c r="A68" s="8" t="s">
        <v>117</v>
      </c>
      <c r="B68" s="133" t="s">
        <v>116</v>
      </c>
      <c r="C68" s="136" t="s">
        <v>130</v>
      </c>
      <c r="D68" s="56">
        <v>8</v>
      </c>
      <c r="E68" s="8">
        <v>1</v>
      </c>
      <c r="F68" s="8">
        <v>1880</v>
      </c>
      <c r="G68" s="8">
        <v>800</v>
      </c>
      <c r="H68" s="92">
        <f t="shared" ref="H68:H69" si="9">G68/(D68*E68)</f>
        <v>100</v>
      </c>
      <c r="I68" s="138" t="s">
        <v>60</v>
      </c>
      <c r="K68" s="133" t="s">
        <v>88</v>
      </c>
      <c r="M68" s="139" t="s">
        <v>60</v>
      </c>
      <c r="N68" s="137" t="s">
        <v>60</v>
      </c>
      <c r="O68" s="138" t="s">
        <v>60</v>
      </c>
      <c r="P68" s="139" t="s">
        <v>60</v>
      </c>
      <c r="Q68" s="21"/>
      <c r="R68" s="21"/>
      <c r="S68" s="75"/>
      <c r="T68" s="43"/>
      <c r="U68" s="105"/>
      <c r="V68" s="74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75"/>
      <c r="AM68" s="43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</row>
    <row r="69" spans="1:52" s="8" customFormat="1">
      <c r="A69" s="8" t="s">
        <v>117</v>
      </c>
      <c r="B69" s="133" t="s">
        <v>116</v>
      </c>
      <c r="C69" s="136" t="s">
        <v>131</v>
      </c>
      <c r="D69" s="56">
        <v>8</v>
      </c>
      <c r="E69" s="8">
        <v>1</v>
      </c>
      <c r="F69" s="8">
        <v>1880</v>
      </c>
      <c r="G69" s="8">
        <v>790</v>
      </c>
      <c r="H69" s="92">
        <f t="shared" si="9"/>
        <v>98.75</v>
      </c>
      <c r="I69" s="138" t="s">
        <v>60</v>
      </c>
      <c r="K69" s="133" t="s">
        <v>88</v>
      </c>
      <c r="M69" s="139" t="s">
        <v>60</v>
      </c>
      <c r="N69" s="137" t="s">
        <v>60</v>
      </c>
      <c r="O69" s="138" t="s">
        <v>60</v>
      </c>
      <c r="P69" s="139" t="s">
        <v>60</v>
      </c>
      <c r="Q69" s="21"/>
      <c r="R69" s="21"/>
      <c r="S69" s="75"/>
      <c r="T69" s="43"/>
      <c r="U69" s="105"/>
      <c r="V69" s="74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75"/>
      <c r="AM69" s="43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</row>
    <row r="70" spans="1:52" s="8" customFormat="1">
      <c r="A70" s="8" t="s">
        <v>117</v>
      </c>
      <c r="B70" s="133" t="s">
        <v>116</v>
      </c>
      <c r="C70" s="136" t="s">
        <v>132</v>
      </c>
      <c r="D70" s="56">
        <v>8</v>
      </c>
      <c r="E70" s="8">
        <v>1</v>
      </c>
      <c r="F70" s="8">
        <v>1880</v>
      </c>
      <c r="G70" s="8">
        <v>790</v>
      </c>
      <c r="H70" s="92">
        <f t="shared" ref="H70" si="10">G70/(D70*E70)</f>
        <v>98.75</v>
      </c>
      <c r="I70" s="138" t="s">
        <v>60</v>
      </c>
      <c r="K70" s="133" t="s">
        <v>88</v>
      </c>
      <c r="M70" s="139" t="s">
        <v>60</v>
      </c>
      <c r="N70" s="137" t="s">
        <v>60</v>
      </c>
      <c r="O70" s="138" t="s">
        <v>60</v>
      </c>
      <c r="P70" s="139" t="s">
        <v>60</v>
      </c>
      <c r="Q70" s="21"/>
      <c r="R70" s="21"/>
      <c r="S70" s="75"/>
      <c r="T70" s="43"/>
      <c r="U70" s="105"/>
      <c r="V70" s="74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75"/>
      <c r="AM70" s="43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</row>
    <row r="71" spans="1:52" s="10" customFormat="1">
      <c r="A71" s="10" t="s">
        <v>8</v>
      </c>
      <c r="C71" s="31"/>
      <c r="D71" s="57">
        <v>5</v>
      </c>
      <c r="E71" s="10">
        <v>1</v>
      </c>
      <c r="H71" s="93"/>
      <c r="I71" s="76"/>
      <c r="M71" s="22"/>
      <c r="N71" s="77"/>
      <c r="O71" s="76"/>
      <c r="P71" s="22"/>
      <c r="Q71" s="22"/>
      <c r="R71" s="22"/>
      <c r="S71" s="77"/>
      <c r="T71" s="44"/>
      <c r="U71" s="106"/>
      <c r="V71" s="76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77"/>
      <c r="AM71" s="44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</row>
    <row r="72" spans="1:52" s="11" customFormat="1">
      <c r="A72" s="11" t="s">
        <v>9</v>
      </c>
      <c r="C72" s="32"/>
      <c r="D72" s="58">
        <v>5</v>
      </c>
      <c r="E72" s="11">
        <v>1</v>
      </c>
      <c r="H72" s="94"/>
      <c r="I72" s="78"/>
      <c r="M72" s="23"/>
      <c r="N72" s="79"/>
      <c r="O72" s="78"/>
      <c r="P72" s="23"/>
      <c r="Q72" s="23"/>
      <c r="R72" s="23"/>
      <c r="S72" s="79"/>
      <c r="T72" s="45"/>
      <c r="U72" s="107"/>
      <c r="V72" s="78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79"/>
      <c r="AM72" s="45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 s="10" customFormat="1">
      <c r="A73" s="10" t="s">
        <v>10</v>
      </c>
      <c r="C73" s="31"/>
      <c r="D73" s="57">
        <v>5</v>
      </c>
      <c r="E73" s="10">
        <v>1</v>
      </c>
      <c r="H73" s="93"/>
      <c r="I73" s="76"/>
      <c r="M73" s="22"/>
      <c r="N73" s="77"/>
      <c r="O73" s="76"/>
      <c r="P73" s="22"/>
      <c r="Q73" s="22"/>
      <c r="R73" s="22"/>
      <c r="S73" s="77"/>
      <c r="T73" s="44"/>
      <c r="U73" s="106"/>
      <c r="V73" s="76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77"/>
      <c r="AM73" s="44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</row>
    <row r="74" spans="1:52" s="11" customFormat="1">
      <c r="A74" s="11" t="s">
        <v>11</v>
      </c>
      <c r="C74" s="32"/>
      <c r="D74" s="58">
        <v>5</v>
      </c>
      <c r="E74" s="11">
        <v>1</v>
      </c>
      <c r="H74" s="94"/>
      <c r="I74" s="78"/>
      <c r="M74" s="23"/>
      <c r="N74" s="79"/>
      <c r="O74" s="78"/>
      <c r="P74" s="23"/>
      <c r="Q74" s="23"/>
      <c r="R74" s="23"/>
      <c r="S74" s="79"/>
      <c r="T74" s="45"/>
      <c r="U74" s="107"/>
      <c r="V74" s="78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79"/>
      <c r="AM74" s="45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 s="10" customFormat="1">
      <c r="A75" s="10" t="s">
        <v>12</v>
      </c>
      <c r="C75" s="31"/>
      <c r="D75" s="57">
        <v>5</v>
      </c>
      <c r="E75" s="10">
        <v>1</v>
      </c>
      <c r="H75" s="93"/>
      <c r="I75" s="76"/>
      <c r="M75" s="22"/>
      <c r="N75" s="77"/>
      <c r="O75" s="76"/>
      <c r="P75" s="22"/>
      <c r="Q75" s="22"/>
      <c r="R75" s="22"/>
      <c r="S75" s="77"/>
      <c r="T75" s="44"/>
      <c r="U75" s="106"/>
      <c r="V75" s="76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77"/>
      <c r="AM75" s="44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</row>
    <row r="76" spans="1:52" s="11" customFormat="1">
      <c r="A76" s="11" t="s">
        <v>13</v>
      </c>
      <c r="C76" s="32"/>
      <c r="D76" s="58">
        <v>9</v>
      </c>
      <c r="E76" s="11">
        <v>1</v>
      </c>
      <c r="H76" s="94"/>
      <c r="I76" s="78"/>
      <c r="M76" s="23"/>
      <c r="N76" s="79"/>
      <c r="O76" s="78"/>
      <c r="P76" s="23"/>
      <c r="Q76" s="23"/>
      <c r="R76" s="23"/>
      <c r="S76" s="79"/>
      <c r="T76" s="45"/>
      <c r="U76" s="107"/>
      <c r="V76" s="78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79"/>
      <c r="AM76" s="45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 s="10" customFormat="1">
      <c r="A77" s="10" t="s">
        <v>15</v>
      </c>
      <c r="C77" s="31"/>
      <c r="D77" s="57">
        <v>9</v>
      </c>
      <c r="E77" s="10">
        <v>1</v>
      </c>
      <c r="H77" s="93"/>
      <c r="I77" s="76"/>
      <c r="M77" s="22"/>
      <c r="N77" s="77"/>
      <c r="O77" s="76"/>
      <c r="P77" s="22"/>
      <c r="Q77" s="22"/>
      <c r="R77" s="22"/>
      <c r="S77" s="77"/>
      <c r="T77" s="44"/>
      <c r="U77" s="106"/>
      <c r="V77" s="76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77"/>
      <c r="AM77" s="44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</row>
    <row r="78" spans="1:52" s="11" customFormat="1">
      <c r="A78" s="11" t="s">
        <v>14</v>
      </c>
      <c r="C78" s="32"/>
      <c r="D78" s="58">
        <v>9</v>
      </c>
      <c r="E78" s="11">
        <v>1</v>
      </c>
      <c r="H78" s="94"/>
      <c r="I78" s="78"/>
      <c r="M78" s="23"/>
      <c r="N78" s="79"/>
      <c r="O78" s="78"/>
      <c r="P78" s="23"/>
      <c r="Q78" s="23"/>
      <c r="R78" s="23"/>
      <c r="S78" s="79"/>
      <c r="T78" s="45"/>
      <c r="U78" s="107"/>
      <c r="V78" s="78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79"/>
      <c r="AM78" s="45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 s="10" customFormat="1">
      <c r="A79" s="10" t="s">
        <v>16</v>
      </c>
      <c r="C79" s="31"/>
      <c r="D79" s="57">
        <v>9</v>
      </c>
      <c r="E79" s="10">
        <v>1</v>
      </c>
      <c r="H79" s="93"/>
      <c r="I79" s="76"/>
      <c r="M79" s="22"/>
      <c r="N79" s="77"/>
      <c r="O79" s="76"/>
      <c r="P79" s="22"/>
      <c r="Q79" s="22"/>
      <c r="R79" s="22"/>
      <c r="S79" s="77"/>
      <c r="T79" s="44"/>
      <c r="U79" s="106"/>
      <c r="V79" s="76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77"/>
      <c r="AM79" s="44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</row>
    <row r="80" spans="1:52" s="11" customFormat="1">
      <c r="A80" s="11" t="s">
        <v>17</v>
      </c>
      <c r="C80" s="32"/>
      <c r="D80" s="58">
        <v>12</v>
      </c>
      <c r="E80" s="11">
        <v>1</v>
      </c>
      <c r="H80" s="94"/>
      <c r="I80" s="78"/>
      <c r="M80" s="23"/>
      <c r="N80" s="79"/>
      <c r="O80" s="78"/>
      <c r="P80" s="23"/>
      <c r="Q80" s="23"/>
      <c r="R80" s="23"/>
      <c r="S80" s="79"/>
      <c r="T80" s="45"/>
      <c r="U80" s="107"/>
      <c r="V80" s="78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79"/>
      <c r="AM80" s="45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 s="10" customFormat="1">
      <c r="A81" s="10" t="s">
        <v>18</v>
      </c>
      <c r="C81" s="31"/>
      <c r="D81" s="57">
        <v>12</v>
      </c>
      <c r="E81" s="10">
        <v>1</v>
      </c>
      <c r="H81" s="93"/>
      <c r="I81" s="76"/>
      <c r="M81" s="22"/>
      <c r="N81" s="77"/>
      <c r="O81" s="76"/>
      <c r="P81" s="22"/>
      <c r="Q81" s="22"/>
      <c r="R81" s="22"/>
      <c r="S81" s="77"/>
      <c r="T81" s="44"/>
      <c r="U81" s="106"/>
      <c r="V81" s="76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77"/>
      <c r="AM81" s="44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</row>
    <row r="82" spans="1:52" s="11" customFormat="1">
      <c r="A82" s="11" t="s">
        <v>19</v>
      </c>
      <c r="C82" s="32"/>
      <c r="D82" s="58">
        <v>12</v>
      </c>
      <c r="E82" s="11">
        <v>1</v>
      </c>
      <c r="H82" s="94"/>
      <c r="I82" s="78"/>
      <c r="M82" s="23"/>
      <c r="N82" s="79"/>
      <c r="O82" s="78"/>
      <c r="P82" s="23"/>
      <c r="Q82" s="23"/>
      <c r="R82" s="23"/>
      <c r="S82" s="79"/>
      <c r="T82" s="45"/>
      <c r="U82" s="107"/>
      <c r="V82" s="78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79"/>
      <c r="AM82" s="45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 s="10" customFormat="1">
      <c r="A83" s="10" t="s">
        <v>20</v>
      </c>
      <c r="C83" s="31"/>
      <c r="D83" s="57">
        <v>12</v>
      </c>
      <c r="E83" s="10">
        <v>1</v>
      </c>
      <c r="H83" s="93"/>
      <c r="I83" s="76"/>
      <c r="M83" s="22"/>
      <c r="N83" s="77"/>
      <c r="O83" s="76"/>
      <c r="P83" s="22"/>
      <c r="Q83" s="22"/>
      <c r="R83" s="22"/>
      <c r="S83" s="77"/>
      <c r="T83" s="44"/>
      <c r="U83" s="106"/>
      <c r="V83" s="76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77"/>
      <c r="AM83" s="44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</row>
    <row r="84" spans="1:52" s="11" customFormat="1">
      <c r="A84" s="11" t="s">
        <v>21</v>
      </c>
      <c r="C84" s="32"/>
      <c r="D84" s="58">
        <v>12</v>
      </c>
      <c r="E84" s="11">
        <v>1</v>
      </c>
      <c r="H84" s="94"/>
      <c r="I84" s="78"/>
      <c r="M84" s="23"/>
      <c r="N84" s="79"/>
      <c r="O84" s="78"/>
      <c r="P84" s="23"/>
      <c r="Q84" s="23"/>
      <c r="R84" s="23"/>
      <c r="S84" s="79"/>
      <c r="T84" s="45"/>
      <c r="U84" s="107"/>
      <c r="V84" s="78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79"/>
      <c r="AM84" s="45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 s="10" customFormat="1">
      <c r="A85" s="10" t="s">
        <v>22</v>
      </c>
      <c r="C85" s="31"/>
      <c r="D85" s="57">
        <v>8</v>
      </c>
      <c r="E85" s="10">
        <v>1</v>
      </c>
      <c r="H85" s="93"/>
      <c r="I85" s="76"/>
      <c r="M85" s="22"/>
      <c r="N85" s="77"/>
      <c r="O85" s="76"/>
      <c r="P85" s="22"/>
      <c r="Q85" s="22"/>
      <c r="R85" s="22"/>
      <c r="S85" s="77"/>
      <c r="T85" s="44"/>
      <c r="U85" s="106"/>
      <c r="V85" s="76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77"/>
      <c r="AM85" s="44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</row>
    <row r="86" spans="1:52" s="11" customFormat="1">
      <c r="A86" s="11" t="s">
        <v>23</v>
      </c>
      <c r="C86" s="32"/>
      <c r="D86" s="58">
        <v>8</v>
      </c>
      <c r="E86" s="11">
        <v>1</v>
      </c>
      <c r="H86" s="94"/>
      <c r="I86" s="78"/>
      <c r="M86" s="23"/>
      <c r="N86" s="79"/>
      <c r="O86" s="78"/>
      <c r="P86" s="23"/>
      <c r="Q86" s="23"/>
      <c r="R86" s="23"/>
      <c r="S86" s="79"/>
      <c r="T86" s="45"/>
      <c r="U86" s="107"/>
      <c r="V86" s="78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79"/>
      <c r="AM86" s="45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 s="10" customFormat="1">
      <c r="A87" s="10" t="s">
        <v>24</v>
      </c>
      <c r="C87" s="31"/>
      <c r="D87" s="57">
        <v>8</v>
      </c>
      <c r="E87" s="10">
        <v>1</v>
      </c>
      <c r="H87" s="93"/>
      <c r="I87" s="76"/>
      <c r="M87" s="22"/>
      <c r="N87" s="77"/>
      <c r="O87" s="76"/>
      <c r="P87" s="22"/>
      <c r="Q87" s="22"/>
      <c r="R87" s="22"/>
      <c r="S87" s="77"/>
      <c r="T87" s="44"/>
      <c r="U87" s="106"/>
      <c r="V87" s="76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77"/>
      <c r="AM87" s="44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</row>
    <row r="88" spans="1:52" s="12" customFormat="1">
      <c r="A88" s="12" t="s">
        <v>25</v>
      </c>
      <c r="C88" s="33"/>
      <c r="D88" s="59">
        <v>5</v>
      </c>
      <c r="E88" s="12">
        <v>1</v>
      </c>
      <c r="H88" s="95"/>
      <c r="I88" s="80"/>
      <c r="M88" s="24"/>
      <c r="N88" s="81"/>
      <c r="O88" s="80"/>
      <c r="P88" s="24"/>
      <c r="Q88" s="24"/>
      <c r="R88" s="24"/>
      <c r="S88" s="81"/>
      <c r="T88" s="46"/>
      <c r="U88" s="108"/>
      <c r="V88" s="80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81"/>
      <c r="AM88" s="46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</row>
    <row r="89" spans="1:52" s="13" customFormat="1">
      <c r="A89" s="13" t="s">
        <v>26</v>
      </c>
      <c r="C89" s="34"/>
      <c r="D89" s="60">
        <v>5</v>
      </c>
      <c r="E89" s="13">
        <v>1</v>
      </c>
      <c r="H89" s="96"/>
      <c r="I89" s="82"/>
      <c r="M89" s="25"/>
      <c r="N89" s="83"/>
      <c r="O89" s="82"/>
      <c r="P89" s="25"/>
      <c r="Q89" s="25"/>
      <c r="R89" s="25"/>
      <c r="S89" s="83"/>
      <c r="T89" s="47"/>
      <c r="U89" s="109"/>
      <c r="V89" s="82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83"/>
      <c r="AM89" s="47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</row>
    <row r="90" spans="1:52" s="12" customFormat="1">
      <c r="A90" s="12" t="s">
        <v>27</v>
      </c>
      <c r="C90" s="33"/>
      <c r="D90" s="59">
        <v>5</v>
      </c>
      <c r="E90" s="12">
        <v>1</v>
      </c>
      <c r="H90" s="95"/>
      <c r="I90" s="80"/>
      <c r="M90" s="24"/>
      <c r="N90" s="81"/>
      <c r="O90" s="80"/>
      <c r="P90" s="24"/>
      <c r="Q90" s="24"/>
      <c r="R90" s="24"/>
      <c r="S90" s="81"/>
      <c r="T90" s="46"/>
      <c r="U90" s="108"/>
      <c r="V90" s="80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81"/>
      <c r="AM90" s="46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</row>
    <row r="91" spans="1:52" s="13" customFormat="1">
      <c r="A91" s="13" t="s">
        <v>28</v>
      </c>
      <c r="C91" s="34"/>
      <c r="D91" s="60">
        <v>9</v>
      </c>
      <c r="E91" s="13">
        <v>1</v>
      </c>
      <c r="H91" s="96"/>
      <c r="I91" s="82"/>
      <c r="M91" s="25"/>
      <c r="N91" s="83"/>
      <c r="O91" s="82"/>
      <c r="P91" s="25"/>
      <c r="Q91" s="25"/>
      <c r="R91" s="25"/>
      <c r="S91" s="83"/>
      <c r="T91" s="47"/>
      <c r="U91" s="109"/>
      <c r="V91" s="82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83"/>
      <c r="AM91" s="47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</row>
    <row r="92" spans="1:52" s="12" customFormat="1">
      <c r="A92" s="12" t="s">
        <v>29</v>
      </c>
      <c r="C92" s="33"/>
      <c r="D92" s="59">
        <v>9</v>
      </c>
      <c r="E92" s="12">
        <v>1</v>
      </c>
      <c r="H92" s="95"/>
      <c r="I92" s="80"/>
      <c r="M92" s="24"/>
      <c r="N92" s="81"/>
      <c r="O92" s="80"/>
      <c r="P92" s="24"/>
      <c r="Q92" s="24"/>
      <c r="R92" s="24"/>
      <c r="S92" s="81"/>
      <c r="T92" s="46"/>
      <c r="U92" s="108"/>
      <c r="V92" s="80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81"/>
      <c r="AM92" s="46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</row>
    <row r="93" spans="1:52" s="13" customFormat="1">
      <c r="A93" s="13" t="s">
        <v>30</v>
      </c>
      <c r="C93" s="34"/>
      <c r="D93" s="60">
        <v>12</v>
      </c>
      <c r="E93" s="13">
        <v>1</v>
      </c>
      <c r="H93" s="96"/>
      <c r="I93" s="82"/>
      <c r="M93" s="25"/>
      <c r="N93" s="83"/>
      <c r="O93" s="82"/>
      <c r="P93" s="25"/>
      <c r="Q93" s="25"/>
      <c r="R93" s="25"/>
      <c r="S93" s="83"/>
      <c r="T93" s="47"/>
      <c r="U93" s="109"/>
      <c r="V93" s="82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83"/>
      <c r="AM93" s="47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</row>
    <row r="94" spans="1:52" s="12" customFormat="1">
      <c r="A94" s="12" t="s">
        <v>31</v>
      </c>
      <c r="C94" s="33"/>
      <c r="D94" s="59">
        <v>12</v>
      </c>
      <c r="E94" s="12">
        <v>1</v>
      </c>
      <c r="H94" s="95"/>
      <c r="I94" s="80"/>
      <c r="M94" s="24"/>
      <c r="N94" s="81"/>
      <c r="O94" s="80"/>
      <c r="P94" s="24"/>
      <c r="Q94" s="24"/>
      <c r="R94" s="24"/>
      <c r="S94" s="81"/>
      <c r="T94" s="46"/>
      <c r="U94" s="108"/>
      <c r="V94" s="80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81"/>
      <c r="AM94" s="46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</row>
    <row r="95" spans="1:52" s="13" customFormat="1">
      <c r="A95" s="13" t="s">
        <v>32</v>
      </c>
      <c r="C95" s="34"/>
      <c r="D95" s="60">
        <v>12</v>
      </c>
      <c r="E95" s="13">
        <v>1</v>
      </c>
      <c r="H95" s="96"/>
      <c r="I95" s="82"/>
      <c r="M95" s="25"/>
      <c r="N95" s="83"/>
      <c r="O95" s="82"/>
      <c r="P95" s="25"/>
      <c r="Q95" s="25"/>
      <c r="R95" s="25"/>
      <c r="S95" s="83"/>
      <c r="T95" s="47"/>
      <c r="U95" s="109"/>
      <c r="V95" s="82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83"/>
      <c r="AM95" s="47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</row>
    <row r="96" spans="1:52" s="12" customFormat="1">
      <c r="A96" s="12" t="s">
        <v>33</v>
      </c>
      <c r="C96" s="33"/>
      <c r="D96" s="59">
        <v>12</v>
      </c>
      <c r="E96" s="12">
        <v>1</v>
      </c>
      <c r="H96" s="95"/>
      <c r="I96" s="80"/>
      <c r="M96" s="24"/>
      <c r="N96" s="81"/>
      <c r="O96" s="80"/>
      <c r="P96" s="24"/>
      <c r="Q96" s="24"/>
      <c r="R96" s="24"/>
      <c r="S96" s="81"/>
      <c r="T96" s="46"/>
      <c r="U96" s="108"/>
      <c r="V96" s="80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81"/>
      <c r="AM96" s="46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</row>
    <row r="97" spans="1:52" s="13" customFormat="1">
      <c r="A97" s="13" t="s">
        <v>34</v>
      </c>
      <c r="C97" s="34"/>
      <c r="D97" s="60">
        <v>12</v>
      </c>
      <c r="E97" s="13">
        <v>1</v>
      </c>
      <c r="H97" s="96"/>
      <c r="I97" s="82"/>
      <c r="M97" s="25"/>
      <c r="N97" s="83"/>
      <c r="O97" s="82"/>
      <c r="P97" s="25"/>
      <c r="Q97" s="25"/>
      <c r="R97" s="25"/>
      <c r="S97" s="83"/>
      <c r="T97" s="47"/>
      <c r="U97" s="109"/>
      <c r="V97" s="82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83"/>
      <c r="AM97" s="47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</row>
    <row r="98" spans="1:52" s="12" customFormat="1">
      <c r="A98" s="12" t="s">
        <v>35</v>
      </c>
      <c r="C98" s="33"/>
      <c r="D98" s="59">
        <v>12</v>
      </c>
      <c r="E98" s="12">
        <v>1</v>
      </c>
      <c r="H98" s="95"/>
      <c r="I98" s="80"/>
      <c r="M98" s="24"/>
      <c r="N98" s="81"/>
      <c r="O98" s="80"/>
      <c r="P98" s="24"/>
      <c r="Q98" s="24"/>
      <c r="R98" s="24"/>
      <c r="S98" s="81"/>
      <c r="T98" s="46"/>
      <c r="U98" s="108"/>
      <c r="V98" s="80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81"/>
      <c r="AM98" s="46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</row>
    <row r="99" spans="1:52" s="13" customFormat="1">
      <c r="A99" s="13" t="s">
        <v>36</v>
      </c>
      <c r="C99" s="34"/>
      <c r="D99" s="60">
        <v>10</v>
      </c>
      <c r="E99" s="13">
        <v>1</v>
      </c>
      <c r="H99" s="96"/>
      <c r="I99" s="82"/>
      <c r="M99" s="25"/>
      <c r="N99" s="83"/>
      <c r="O99" s="82"/>
      <c r="P99" s="25"/>
      <c r="Q99" s="25"/>
      <c r="R99" s="25"/>
      <c r="S99" s="83"/>
      <c r="T99" s="47"/>
      <c r="U99" s="109"/>
      <c r="V99" s="82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83"/>
      <c r="AM99" s="47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</row>
    <row r="100" spans="1:52" s="12" customFormat="1">
      <c r="A100" s="12" t="s">
        <v>37</v>
      </c>
      <c r="C100" s="33"/>
      <c r="D100" s="59">
        <v>10</v>
      </c>
      <c r="E100" s="12">
        <v>1</v>
      </c>
      <c r="H100" s="95"/>
      <c r="I100" s="80"/>
      <c r="M100" s="24"/>
      <c r="N100" s="81"/>
      <c r="O100" s="80"/>
      <c r="P100" s="24"/>
      <c r="Q100" s="24"/>
      <c r="R100" s="24"/>
      <c r="S100" s="81"/>
      <c r="T100" s="46"/>
      <c r="U100" s="108"/>
      <c r="V100" s="80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81"/>
      <c r="AM100" s="46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</row>
    <row r="101" spans="1:52" s="13" customFormat="1">
      <c r="A101" s="13" t="s">
        <v>38</v>
      </c>
      <c r="C101" s="34"/>
      <c r="D101" s="60">
        <v>10</v>
      </c>
      <c r="E101" s="13">
        <v>1</v>
      </c>
      <c r="H101" s="96"/>
      <c r="I101" s="82"/>
      <c r="M101" s="25"/>
      <c r="N101" s="83"/>
      <c r="O101" s="82"/>
      <c r="P101" s="25"/>
      <c r="Q101" s="25"/>
      <c r="R101" s="25"/>
      <c r="S101" s="83"/>
      <c r="T101" s="47"/>
      <c r="U101" s="109"/>
      <c r="V101" s="82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83"/>
      <c r="AM101" s="47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</row>
  </sheetData>
  <conditionalFormatting sqref="H1:H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scale="28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</dc:creator>
  <cp:lastModifiedBy>Kieran</cp:lastModifiedBy>
  <dcterms:created xsi:type="dcterms:W3CDTF">2016-09-11T10:11:23Z</dcterms:created>
  <dcterms:modified xsi:type="dcterms:W3CDTF">2016-09-12T09:36:38Z</dcterms:modified>
</cp:coreProperties>
</file>